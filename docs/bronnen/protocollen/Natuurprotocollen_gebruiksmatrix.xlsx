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927a2c38bd1456a" /></Relationships>
</file>

<file path=xl/workbook.xml><?xml version="1.0" encoding="utf-8"?>
<x:workbook xmlns:x="http://schemas.openxmlformats.org/spreadsheetml/2006/main">
  <x:sheets>
    <x:sheet xmlns:r="http://schemas.openxmlformats.org/officeDocument/2006/relationships" name="Leeswijzer" sheetId="1" r:id="Rf4aecb4470fe496d"/>
    <x:sheet xmlns:r="http://schemas.openxmlformats.org/officeDocument/2006/relationships" name="Protocollen" sheetId="2" r:id="Rc4afcb761f4647e8"/>
    <x:sheet xmlns:r="http://schemas.openxmlformats.org/officeDocument/2006/relationships" name="Bronnen" sheetId="3" r:id="R379e8069f51546a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4">
    <x:font>
      <x:sz val="11"/>
      <x:name val="Carlito"/>
    </x:font>
    <x:font>
      <x:b/>
      <x:sz val="11"/>
      <x:color rgb="FFFFFFFF"/>
      <x:name val="Carlito"/>
    </x:font>
    <x:font>
      <x:sz val="11"/>
      <x:color rgb="FF566472"/>
      <x:name val="Carlito"/>
    </x:font>
    <x:font>
      <x:b/>
      <x:sz val="11"/>
      <x:name val="Carlito"/>
    </x:font>
  </x:fonts>
  <x:fills count="7">
    <x:fill>
      <x:patternFill patternType="none"/>
    </x:fill>
    <x:fill>
      <x:patternFill patternType="gray125"/>
    </x:fill>
    <x:fill>
      <x:patternFill patternType="solid">
        <x:fgColor rgb="FF263340"/>
      </x:patternFill>
    </x:fill>
    <x:fill>
      <x:patternFill patternType="solid">
        <x:fgColor rgb="FFEEF1F3"/>
      </x:patternFill>
    </x:fill>
    <x:fill>
      <x:patternFill patternType="solid">
        <x:fgColor rgb="FFF4F6F7"/>
      </x:patternFill>
    </x:fill>
    <x:fill>
      <x:patternFill patternType="solid">
        <x:fgColor rgb="FFFFFFFF"/>
      </x:patternFill>
    </x:fill>
    <x:fill>
      <x:patternFill patternType="solid">
        <x:fgColor rgb="FFE7ECEF"/>
      </x:patternFill>
    </x:fill>
  </x:fills>
  <x:borders count="2">
    <x:border/>
    <x:border/>
  </x:borders>
  <x:cellStyleXfs count="1">
    <x:xf numFmtId="0" fontId="0" fillId="0" borderId="0"/>
  </x:cellStyleXfs>
  <x:cellXfs count="5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x:xf numFmtId="0" fontId="2" fillId="0"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3"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20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200" fontId="3" fillId="4" borderId="1"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2" fillId="4" borderId="1" xfId="0" applyNumberFormat="1" applyFont="1" applyFill="1" applyBorder="1" applyAlignment="1">
      <x:alignment vertical="top" wrapText="1"/>
    </x:xf>
    <x:xf numFmtId="20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200" fontId="3" fillId="5" borderId="1"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2" fillId="5" borderId="1"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3" fillId="6"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53fea3d275e40bd" /><Relationship Type="http://schemas.openxmlformats.org/officeDocument/2006/relationships/theme" Target="/xl/theme/theme1.xml" Id="R1094d9b1c4ca4282" /><Relationship Type="http://schemas.openxmlformats.org/officeDocument/2006/relationships/sharedStrings" Target="/xl/sharedStrings.xml" Id="Rba2b6f9c7c9b40e3" /><Relationship Type="http://schemas.openxmlformats.org/officeDocument/2006/relationships/worksheet" Target="/xl/worksheets/sheet1.xml" Id="Rf4aecb4470fe496d" /><Relationship Type="http://schemas.openxmlformats.org/officeDocument/2006/relationships/worksheet" Target="/xl/worksheets/sheet2.xml" Id="Rc4afcb761f4647e8" /><Relationship Type="http://schemas.openxmlformats.org/officeDocument/2006/relationships/worksheet" Target="/xl/worksheets/sheet3.xml" Id="R379e8069f51546a3" /></Relationships>
</file>

<file path=xl/tables/table1.xml><?xml version="1.0" encoding="utf-8"?>
<x:table xmlns:x="http://schemas.openxmlformats.org/spreadsheetml/2006/main" id="1" name="ProtocolGebruik" displayName="ProtocolGebruik" ref="A5:K59" headerRowCount="1" totalsRowCount="0" totalsRowShown="0">
  <x:tableColumns count="11">
    <x:tableColumn id="1" name="Code"/>
    <x:tableColumn id="2" name="Protocol / gegevensbron"/>
    <x:tableColumn id="3" name="Levering volgens overzicht"/>
    <x:tableColumn id="4" name="Hoofdtype"/>
    <x:tableColumn id="5" name="Aanvullend / voorwaardelijk gebruik"/>
    <x:tableColumn id="6" name="Wetenschappelijk verantwoord gebruik"/>
    <x:tableColumn id="7" name="Passende analyse"/>
    <x:tableColumn id="8" name="Benodigde onderzoekscontext"/>
    <x:tableColumn id="9" name="Begrenzing / niet concluderen"/>
    <x:tableColumn id="10" name="Bronnummers"/>
    <x:tableColumn id="11" name="Bron-URL's"/>
  </x:tableColumns>
  <x:tableStyleInfo name="TableStyleMedium2" showFirstColumn="0" showLastColumn="0" showRowStripes="1" showColumnStripes="0"/>
</x:table>
</file>

<file path=xl/tables/table2.xml><?xml version="1.0" encoding="utf-8"?>
<x:table xmlns:x="http://schemas.openxmlformats.org/spreadsheetml/2006/main" id="2" name="BronnenProtocol" displayName="BronnenProtocol" ref="A4:D70" headerRowCount="1" totalsRowCount="0" totalsRowShown="0">
  <x:tableColumns count="4">
    <x:tableColumn id="1" name="Nr."/>
    <x:tableColumn id="2" name="Volledige bronvermelding"/>
    <x:tableColumn id="3" name="URL"/>
    <x:tableColumn id="4" name="Controle / beoordeli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98c5d65f1a940f0" /></Relationships>
</file>

<file path=xl/worksheets/_rels/sheet3.xml.rels>&#65279;<?xml version="1.0" encoding="utf-8"?><Relationships xmlns="http://schemas.openxmlformats.org/package/2006/relationships"><Relationship Type="http://schemas.openxmlformats.org/officeDocument/2006/relationships/table" Target="/xl/tables/table2.xml" Id="Rd229e0cd1ede4c06" /></Relationships>
</file>

<file path=xl/worksheets/sheet1.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0" customHeight="1">
      <x:c r="A1" s="3" t="str">
        <x:v>Leeswijzer en classificatie</x:v>
      </x:c>
      <x:c r="B1" s="3"/>
      <x:c r="C1" s="3"/>
      <x:c r="D1" s="3"/>
      <x:c r="E1" s="3"/>
      <x:c r="F1" s="3"/>
      <x:c r="G1" s="3"/>
      <x:c r="H1" s="3"/>
    </x:row>
    <x:row r="3" ht="32" customHeight="1">
      <x:c r="A3" s="6" t="str">
        <x:v>Doel: per protocol vaststellen welk gebruik wetenschappelijk te verdedigen is en welke aanvullende onderzoeksgegevens daarvoor nodig zijn.</x:v>
      </x:c>
      <x:c r="B3" s="6"/>
      <x:c r="C3" s="6"/>
      <x:c r="D3" s="6"/>
      <x:c r="E3" s="6"/>
      <x:c r="F3" s="6"/>
      <x:c r="G3" s="6"/>
      <x:c r="H3" s="6"/>
    </x:row>
    <x:row r="4" ht="32" customHeight="1">
      <x:c r="A4" s="6" t="str">
        <x:v>De categorieën beschrijven het type gevolgtrekking. De telling hieronder is een administratieve groepering, geen aantal bewezen betrouwbare trends.</x:v>
      </x:c>
      <x:c r="B4" s="6"/>
      <x:c r="C4" s="6"/>
      <x:c r="D4" s="6"/>
      <x:c r="E4" s="6"/>
      <x:c r="F4" s="6"/>
      <x:c r="G4" s="6"/>
      <x:c r="H4" s="6"/>
    </x:row>
    <x:row r="6" ht="33" customHeight="1">
      <x:c r="A6" s="12" t="str">
        <x:v>Type</x:v>
      </x:c>
      <x:c r="B6" s="12" t="str">
        <x:v>Betekenis</x:v>
      </x:c>
      <x:c r="C6" s="12"/>
      <x:c r="D6" s="12"/>
      <x:c r="E6" s="12" t="str">
        <x:v>Aantal labels</x:v>
      </x:c>
      <x:c r="F6" s="12" t="str">
        <x:v>Voorwaarde bij trendgebruik</x:v>
      </x:c>
      <x:c r="G6" s="12"/>
      <x:c r="H6" s="12"/>
    </x:row>
    <x:row r="7" ht="34" customHeight="1">
      <x:c r="A7" s="28" t="str">
        <x:v>V</x:v>
      </x:c>
      <x:c r="B7" s="28" t="str">
        <x:v>Voorkomensinformatie</x:v>
      </x:c>
      <x:c r="C7" s="28"/>
      <x:c r="D7" s="28"/>
      <x:c r="E7" s="31" t="n">
        <x:f>COUNTIF(Protocollen!$D$6:$D$59,A7)</x:f>
        <x:v>14</x:v>
      </x:c>
      <x:c r="F7" s="28" t="str">
        <x:v>Alleen na aanvullende reconstructie</x:v>
      </x:c>
      <x:c r="G7" s="28"/>
      <x:c r="H7" s="28"/>
    </x:row>
    <x:row r="8" ht="34" customHeight="1">
      <x:c r="A8" s="28" t="str">
        <x:v>I</x:v>
      </x:c>
      <x:c r="B8" s="28" t="str">
        <x:v>Gestructureerde inventarisatie</x:v>
      </x:c>
      <x:c r="C8" s="28"/>
      <x:c r="D8" s="28"/>
      <x:c r="E8" s="31" t="n">
        <x:f>COUNTIF(Protocollen!$D$6:$D$59,A8)</x:f>
        <x:v>14</x:v>
      </x:c>
      <x:c r="F8" s="28" t="str">
        <x:v>Vergelijkbare herhaling plus analyse</x:v>
      </x:c>
      <x:c r="G8" s="28"/>
      <x:c r="H8" s="28"/>
    </x:row>
    <x:row r="9" ht="34" customHeight="1">
      <x:c r="A9" s="28" t="str">
        <x:v>TV</x:v>
      </x:c>
      <x:c r="B9" s="28" t="str">
        <x:v>Verspreidings-/bezettingstrend</x:v>
      </x:c>
      <x:c r="C9" s="28"/>
      <x:c r="D9" s="28"/>
      <x:c r="E9" s="31" t="n">
        <x:f>COUNTIF(Protocollen!$D$6:$D$59,A9)</x:f>
        <x:v>9</x:v>
      </x:c>
      <x:c r="F9" s="28" t="str">
        <x:v>Alleen geschikte volledige reeks</x:v>
      </x:c>
      <x:c r="G9" s="28"/>
      <x:c r="H9" s="28"/>
    </x:row>
    <x:row r="10" ht="34" customHeight="1">
      <x:c r="A10" s="28" t="str">
        <x:v>TA</x:v>
      </x:c>
      <x:c r="B10" s="28" t="str">
        <x:v>Aantals- of activiteitsindex</x:v>
      </x:c>
      <x:c r="C10" s="28"/>
      <x:c r="D10" s="28"/>
      <x:c r="E10" s="31" t="n">
        <x:f>COUNTIF(Protocollen!$D$6:$D$59,A10)</x:f>
        <x:v>13</x:v>
      </x:c>
      <x:c r="F10" s="28" t="str">
        <x:v>Alleen geschikte volledige reeks</x:v>
      </x:c>
      <x:c r="G10" s="28"/>
      <x:c r="H10" s="28"/>
    </x:row>
    <x:row r="11" ht="34" customHeight="1">
      <x:c r="A11" s="28" t="str">
        <x:v>TK</x:v>
      </x:c>
      <x:c r="B11" s="28" t="str">
        <x:v>Vegetatie-/kwaliteitstrend</x:v>
      </x:c>
      <x:c r="C11" s="28"/>
      <x:c r="D11" s="28"/>
      <x:c r="E11" s="31" t="n">
        <x:f>COUNTIF(Protocollen!$D$6:$D$59,A11)</x:f>
        <x:v>4</x:v>
      </x:c>
      <x:c r="F11" s="28" t="str">
        <x:v>Alleen vergelijkbare meetronden</x:v>
      </x:c>
      <x:c r="G11" s="28"/>
      <x:c r="H11" s="28"/>
    </x:row>
    <x:row r="12" ht="26" customHeight="1">
      <x:c r="A12" s="35" t="str">
        <x:v>Totaal unieke labels</x:v>
      </x:c>
      <x:c r="B12" s="35"/>
      <x:c r="C12" s="35"/>
      <x:c r="D12" s="35"/>
      <x:c r="E12" s="35" t="n">
        <x:f>SUM(E7:E11)</x:f>
        <x:v>54</x:v>
      </x:c>
      <x:c r="F12" s="35"/>
      <x:c r="G12" s="35"/>
      <x:c r="H12" s="35"/>
    </x:row>
    <x:row r="14">
      <x:c r="A14" t="str">
        <x:v>In beide leveringen</x:v>
      </x:c>
      <x:c r="E14" t="n">
        <x:f>COUNTIF(Protocollen!$C$6:$C$59,"Beide leveringen")</x:f>
        <x:v>37</x:v>
      </x:c>
    </x:row>
    <x:row r="15">
      <x:c r="A15" t="str">
        <x:v>Alleen in de openbare levering</x:v>
      </x:c>
      <x:c r="E15" t="n">
        <x:f>COUNTIF(Protocollen!$C$6:$C$59,"Alleen openbaar")</x:f>
        <x:v>17</x:v>
      </x:c>
    </x:row>
    <x:row r="18" ht="24" customHeight="1">
      <x:c r="A18" s="35" t="str">
        <x:v>Reikwijdte</x:v>
      </x:c>
      <x:c r="B18" s="35"/>
      <x:c r="C18" s="35"/>
      <x:c r="D18" s="35"/>
      <x:c r="E18" s="35"/>
      <x:c r="F18" s="35"/>
      <x:c r="G18" s="35"/>
      <x:c r="H18" s="35"/>
    </x:row>
    <x:row r="19" ht="53" customHeight="1">
      <x:c r="A19" s="16" t="str">
        <x:v>De twee oorspronkelijke bestanden zijn niet onderzocht. Dat de genoemde records voldoende context voor een trend bevatten: dit kan ik niet verifiëren. De verdeling over leveringen komt uitsluitend uit het opgegeven overzicht.</x:v>
      </x:c>
      <x:c r="B19" s="16"/>
      <x:c r="C19" s="16"/>
      <x:c r="D19" s="16"/>
      <x:c r="E19" s="16"/>
      <x:c r="F19" s="16"/>
      <x:c r="G19" s="16"/>
      <x:c r="H19" s="16"/>
    </x:row>
    <x:row r="20" ht="24" customHeight="1">
      <x:c r="A20" s="35" t="str">
        <x:v>NDFF en oorspronkelijke metingen [65, 66]</x:v>
      </x:c>
      <x:c r="B20" s="35"/>
      <x:c r="C20" s="35"/>
      <x:c r="D20" s="35"/>
      <x:c r="E20" s="35"/>
      <x:c r="F20" s="35"/>
      <x:c r="G20" s="35"/>
      <x:c r="H20" s="35"/>
    </x:row>
    <x:row r="21" ht="53" customHeight="1">
      <x:c r="A21" s="16" t="str">
        <x:v>NDFF vermeldt dat de via NDFF gedeelde NEM-gegevens niet volstaan om de NEM-trends na te rekenen. Vraag daarom de oorspronkelijke bezoek-, route-/plot- en kwaliteitsgegevens op, inclusief getelde maar niet aangetroffen soorten.</x:v>
      </x:c>
      <x:c r="B21" s="16"/>
      <x:c r="C21" s="16"/>
      <x:c r="D21" s="16"/>
      <x:c r="E21" s="16"/>
      <x:c r="F21" s="16"/>
      <x:c r="G21" s="16"/>
      <x:c r="H21" s="16"/>
    </x:row>
    <x:row r="22" ht="24" customHeight="1">
      <x:c r="A22" s="35" t="str">
        <x:v>V — voorkomen [71]</x:v>
      </x:c>
      <x:c r="B22" s="35"/>
      <x:c r="C22" s="35"/>
      <x:c r="D22" s="35"/>
      <x:c r="E22" s="35"/>
      <x:c r="F22" s="35"/>
      <x:c r="G22" s="35"/>
      <x:c r="H22" s="35"/>
    </x:row>
    <x:row r="23" ht="53" customHeight="1">
      <x:c r="A23" s="16" t="str">
        <x:v>Gebruik voor geverifieerde vindplaatsen, historische referenties en kennislacunes. Trendanalyse is niet principieel uitgesloten, maar vereist bruikbare reconstructie van bezoeken/inspanning, passende detectiemodellen en validatie.</x:v>
      </x:c>
      <x:c r="B23" s="16"/>
      <x:c r="C23" s="16"/>
      <x:c r="D23" s="16"/>
      <x:c r="E23" s="16"/>
      <x:c r="F23" s="16"/>
      <x:c r="G23" s="16"/>
      <x:c r="H23" s="16"/>
    </x:row>
    <x:row r="24" ht="24" customHeight="1">
      <x:c r="A24" s="35" t="str">
        <x:v>I — inventarisatie</x:v>
      </x:c>
      <x:c r="B24" s="35"/>
      <x:c r="C24" s="35"/>
      <x:c r="D24" s="35"/>
      <x:c r="E24" s="35"/>
      <x:c r="F24" s="35"/>
      <x:c r="G24" s="35"/>
      <x:c r="H24" s="35"/>
    </x:row>
    <x:row r="25" ht="53" customHeight="1">
      <x:c r="A25" s="16" t="str">
        <x:v>Gebruik voor lokale soortenlijsten, hoeveelheden, samenstelling of functies zoals het protocol die werkelijk meet. Een tweede onderzoeksronde is pas vergelijkbaar na controle van grenzen, seizoen, methode, inspanning en doelsoorten.</x:v>
      </x:c>
      <x:c r="B25" s="16"/>
      <x:c r="C25" s="16"/>
      <x:c r="D25" s="16"/>
      <x:c r="E25" s="16"/>
      <x:c r="F25" s="16"/>
      <x:c r="G25" s="16"/>
      <x:c r="H25" s="16"/>
    </x:row>
    <x:row r="26" ht="24" customHeight="1">
      <x:c r="A26" s="35" t="str">
        <x:v>TV — verspreiding [14, 71]</x:v>
      </x:c>
      <x:c r="B26" s="35"/>
      <x:c r="C26" s="35"/>
      <x:c r="D26" s="35"/>
      <x:c r="E26" s="35"/>
      <x:c r="F26" s="35"/>
      <x:c r="G26" s="35"/>
      <x:c r="H26" s="35"/>
    </x:row>
    <x:row r="27" ht="53" customHeight="1">
      <x:c r="A27" s="16" t="str">
        <x:v>Analyseer bezetting van gedefinieerde locaties of hokken. Niet aantreffen is geen bewezen afwezigheid. Gebruik herbezoeken of een andere identificeerbare detectieopzet; toets ruimtelijke bias en modelaannamen.</x:v>
      </x:c>
      <x:c r="B27" s="16"/>
      <x:c r="C27" s="16"/>
      <x:c r="D27" s="16"/>
      <x:c r="E27" s="16"/>
      <x:c r="F27" s="16"/>
      <x:c r="G27" s="16"/>
      <x:c r="H27" s="16"/>
    </x:row>
    <x:row r="28" ht="24" customHeight="1">
      <x:c r="A28" s="35" t="str">
        <x:v>TA — aantallen / index [14, 41]</x:v>
      </x:c>
      <x:c r="B28" s="35"/>
      <x:c r="C28" s="35"/>
      <x:c r="D28" s="35"/>
      <x:c r="E28" s="35"/>
      <x:c r="F28" s="35"/>
      <x:c r="G28" s="35"/>
      <x:c r="H28" s="35"/>
    </x:row>
    <x:row r="29" ht="53" customHeight="1">
      <x:c r="A29" s="16" t="str">
        <x:v>Analyseer vergelijkbare tellingen per locatie en jaar, met seizoen en inspanning waar nodig. Scheid nullen, gemiste bezoeken en ontbrekende data. Een telmodel corrigeert onbekende veranderde detectie niet automatisch. Geef de juiste eenheid.</x:v>
      </x:c>
      <x:c r="B29" s="16"/>
      <x:c r="C29" s="16"/>
      <x:c r="D29" s="16"/>
      <x:c r="E29" s="16"/>
      <x:c r="F29" s="16"/>
      <x:c r="G29" s="16"/>
      <x:c r="H29" s="16"/>
    </x:row>
    <x:row r="30" ht="24" customHeight="1">
      <x:c r="A30" s="35" t="str">
        <x:v>TK — vegetatie / kwaliteit [30, 33]</x:v>
      </x:c>
      <x:c r="B30" s="35"/>
      <x:c r="C30" s="35"/>
      <x:c r="D30" s="35"/>
      <x:c r="E30" s="35"/>
      <x:c r="F30" s="35"/>
      <x:c r="G30" s="35"/>
      <x:c r="H30" s="35"/>
    </x:row>
    <x:row r="31" ht="53" customHeight="1">
      <x:c r="A31" s="16" t="str">
        <x:v>Vergelijk dezelfde proefvlakken of een representatieve herhaalde steekproef en harmoniseer bedekkingsschalen, beheertypen en indicatorversies. Een ecologische indicator is geen directe meting van een milieufactor.</x:v>
      </x:c>
      <x:c r="B31" s="16"/>
      <x:c r="C31" s="16"/>
      <x:c r="D31" s="16"/>
      <x:c r="E31" s="16"/>
      <x:c r="F31" s="16"/>
      <x:c r="G31" s="16"/>
      <x:c r="H31" s="16"/>
    </x:row>
    <x:row r="32" ht="24" customHeight="1">
      <x:c r="A32" s="35" t="str">
        <x:v>Bijzondere correcties</x:v>
      </x:c>
      <x:c r="B32" s="35"/>
      <x:c r="C32" s="35"/>
      <x:c r="D32" s="35"/>
      <x:c r="E32" s="35"/>
      <x:c r="F32" s="35"/>
      <x:c r="G32" s="35"/>
      <x:c r="H32" s="35"/>
    </x:row>
    <x:row r="33" ht="53" customHeight="1">
      <x:c r="A33" s="16" t="str">
        <x:v>02.204 Meetnet mossen: I, TV pas na aantoonbare herhaling. 12.015: uniforme methode onbevestigd. 13.201: code-/methodekoppeling controleren. 17.207: CBS schort de bevertrend op; otter afzonderlijk beoordelen.</x:v>
      </x:c>
      <x:c r="B33" s="16"/>
      <x:c r="C33" s="16"/>
      <x:c r="D33" s="16"/>
      <x:c r="E33" s="16"/>
      <x:c r="F33" s="16"/>
      <x:c r="G33" s="16"/>
      <x:c r="H33" s="16"/>
    </x:row>
    <x:row r="34" ht="24" customHeight="1">
      <x:c r="A34" s="35" t="str">
        <x:v>Schaal en bewijskracht</x:v>
      </x:c>
      <x:c r="B34" s="35"/>
      <x:c r="C34" s="35"/>
      <x:c r="D34" s="35"/>
      <x:c r="E34" s="35"/>
      <x:c r="F34" s="35"/>
      <x:c r="G34" s="35"/>
      <x:c r="H34" s="35"/>
    </x:row>
    <x:row r="35" ht="53" customHeight="1">
      <x:c r="A35" s="16" t="str">
        <x:v>Landelijke meetnetgeschiktheid bewijst geen trendgeschiktheid voor iedere soort of een klein gebied. Benoem doelpopulatie, gebied, periode, meetvariabele, steekproefdekking, model, onzekerheidsinterval en toetsbare beperkingen.</x:v>
      </x:c>
      <x:c r="B35" s="16"/>
      <x:c r="C35" s="16"/>
      <x:c r="D35" s="16"/>
      <x:c r="E35" s="16"/>
      <x:c r="F35" s="16"/>
      <x:c r="G35" s="16"/>
      <x:c r="H35" s="16"/>
    </x:row>
    <x:row r="36" ht="24" customHeight="1">
      <x:c r="A36" s="35" t="str">
        <x:v>Beheereffecten [64]</x:v>
      </x:c>
      <x:c r="B36" s="35"/>
      <x:c r="C36" s="35"/>
      <x:c r="D36" s="35"/>
      <x:c r="E36" s="35"/>
      <x:c r="F36" s="35"/>
      <x:c r="G36" s="35"/>
      <x:c r="H36" s="35"/>
    </x:row>
    <x:row r="37" ht="53" customHeight="1">
      <x:c r="A37" s="16" t="str">
        <x:v>Geen van de protocolcodes bewijst op zichzelf een causaal beheereffect. Gebruik een vooraf onderbouwde vergelijking, bijvoorbeeld behandelde en vergelijkbare onbehandelde locaties vóór en na de ingreep.</x:v>
      </x:c>
      <x:c r="B37" s="16"/>
      <x:c r="C37" s="16"/>
      <x:c r="D37" s="16"/>
      <x:c r="E37" s="16"/>
      <x:c r="F37" s="16"/>
      <x:c r="G37" s="16"/>
      <x:c r="H37" s="16"/>
    </x:row>
    <x:row r="38" ht="24" customHeight="1">
      <x:c r="A38" s="35" t="str">
        <x:v>Bronnen en status</x:v>
      </x:c>
      <x:c r="B38" s="35"/>
      <x:c r="C38" s="35"/>
      <x:c r="D38" s="35"/>
      <x:c r="E38" s="35"/>
      <x:c r="F38" s="35"/>
      <x:c r="G38" s="35"/>
      <x:c r="H38" s="35"/>
    </x:row>
    <x:row r="39" ht="53" customHeight="1">
      <x:c r="A39" s="16" t="str">
        <x:v>Bronnummers zijn overgenomen uit het eerdere onderzoeksrapport en aangevuld; gaten in de nummering zijn bewust. Tabblad Bronnen bevat uitsluitend hier gebruikte bronnen. Publicatie-/protocoljaren blijven onderscheiden van de controledatum 11-09-2026.</x:v>
      </x:c>
      <x:c r="B39" s="16"/>
      <x:c r="C39" s="16"/>
      <x:c r="D39" s="16"/>
      <x:c r="E39" s="16"/>
      <x:c r="F39" s="16"/>
      <x:c r="G39" s="16"/>
      <x:c r="H39" s="16"/>
    </x:row>
  </x:sheetData>
  <x:mergeCells>
    <x:mergeCell ref="A1:H1"/>
    <x:mergeCell ref="A3:H3"/>
    <x:mergeCell ref="A4:H4"/>
    <x:mergeCell ref="B6:D6"/>
    <x:mergeCell ref="F6:H6"/>
    <x:mergeCell ref="B7:D7"/>
    <x:mergeCell ref="F7:H7"/>
    <x:mergeCell ref="B8:D8"/>
    <x:mergeCell ref="F8:H8"/>
    <x:mergeCell ref="B9:D9"/>
    <x:mergeCell ref="F9:H9"/>
    <x:mergeCell ref="B10:D10"/>
    <x:mergeCell ref="F10:H10"/>
    <x:mergeCell ref="B11:D11"/>
    <x:mergeCell ref="F11:H11"/>
    <x:mergeCell ref="A12:D12"/>
    <x:mergeCell ref="A14:D14"/>
    <x:mergeCell ref="A15:D15"/>
    <x:mergeCell ref="A18:H18"/>
    <x:mergeCell ref="A19:H19"/>
    <x:mergeCell ref="A20:H20"/>
    <x:mergeCell ref="A21:H21"/>
    <x:mergeCell ref="A22:H22"/>
    <x:mergeCell ref="A23:H23"/>
    <x:mergeCell ref="A24:H24"/>
    <x:mergeCell ref="A25:H25"/>
    <x:mergeCell ref="A26:H26"/>
    <x:mergeCell ref="A27:H27"/>
    <x:mergeCell ref="A28:H28"/>
    <x:mergeCell ref="A29:H29"/>
    <x:mergeCell ref="A30:H30"/>
    <x:mergeCell ref="A31:H31"/>
    <x:mergeCell ref="A32:H32"/>
    <x:mergeCell ref="A33:H33"/>
    <x:mergeCell ref="A34:H34"/>
    <x:mergeCell ref="A35:H35"/>
    <x:mergeCell ref="A36:H36"/>
    <x:mergeCell ref="A37:H37"/>
    <x:mergeCell ref="A38:H38"/>
    <x:mergeCell ref="A39:H39"/>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39" hidden="0" customWidth="1"/>
    <x:col min="3" max="3" width="19" hidden="0" customWidth="1"/>
    <x:col min="4" max="4" width="11" hidden="0" customWidth="1"/>
    <x:col min="5" max="5" width="38" hidden="0" customWidth="1"/>
    <x:col min="6" max="6" width="40" hidden="0" customWidth="1"/>
    <x:col min="7" max="7" width="40" hidden="0" customWidth="1"/>
    <x:col min="8" max="8" width="40" hidden="0" customWidth="1"/>
    <x:col min="9" max="9" width="40" hidden="0" customWidth="1"/>
    <x:col min="10" max="10" width="14" hidden="0" customWidth="1"/>
    <x:col min="11" max="11" width="40" hidden="0" customWidth="1"/>
  </x:cols>
  <x:sheetData>
    <x:row r="1" ht="30" customHeight="1">
      <x:c r="A1" s="3" t="str">
        <x:v>Wetenschappelijk verantwoord gebruik van 54 natuurprotocollen</x:v>
      </x:c>
      <x:c r="B1" s="3"/>
      <x:c r="C1" s="3"/>
      <x:c r="D1" s="3"/>
      <x:c r="E1" s="3"/>
      <x:c r="F1" s="3"/>
      <x:c r="G1" s="3"/>
      <x:c r="H1" s="3"/>
      <x:c r="I1" s="3"/>
      <x:c r="J1" s="3"/>
      <x:c r="K1" s="3"/>
    </x:row>
    <x:row r="2" ht="30" customHeight="1">
      <x:c r="A2" s="6" t="str">
        <x:v>Beoordeling van de volledige onderzoeksopzet, niet van een ongecontroleerde NDFF-puntenexport. Hoofdtypen zijn geen kwaliteitsrangorde.</x:v>
      </x:c>
      <x:c r="B2" s="6"/>
      <x:c r="C2" s="6"/>
      <x:c r="D2" s="6"/>
      <x:c r="E2" s="6"/>
      <x:c r="F2" s="6"/>
      <x:c r="G2" s="6"/>
      <x:c r="H2" s="6"/>
      <x:c r="I2" s="6"/>
      <x:c r="J2" s="6"/>
      <x:c r="K2" s="6"/>
    </x:row>
    <x:row r="3" ht="30" customHeight="1">
      <x:c r="A3" s="9" t="str">
        <x:v>Broncontrole: 11 september 2026. De twee feitelijke dataleveringen zijn niet aangeleverd. Lees voorwaarden en begrenzing altijd samen met het hoofdtype.</x:v>
      </x:c>
      <x:c r="B3" s="9"/>
      <x:c r="C3" s="9"/>
      <x:c r="D3" s="9"/>
      <x:c r="E3" s="9"/>
      <x:c r="F3" s="9"/>
      <x:c r="G3" s="9"/>
      <x:c r="H3" s="9"/>
      <x:c r="I3" s="9"/>
      <x:c r="J3" s="9"/>
      <x:c r="K3" s="9"/>
    </x:row>
    <x:row r="5" ht="42" customHeight="1">
      <x:c r="A5" s="13" t="str">
        <x:v>Code</x:v>
      </x:c>
      <x:c r="B5" s="13" t="str">
        <x:v>Protocol / gegevensbron</x:v>
      </x:c>
      <x:c r="C5" s="13" t="str">
        <x:v>Levering volgens overzicht</x:v>
      </x:c>
      <x:c r="D5" s="13" t="str">
        <x:v>Hoofdtype</x:v>
      </x:c>
      <x:c r="E5" s="13" t="str">
        <x:v>Aanvullend / voorwaardelijk gebruik</x:v>
      </x:c>
      <x:c r="F5" s="13" t="str">
        <x:v>Wetenschappelijk verantwoord gebruik</x:v>
      </x:c>
      <x:c r="G5" s="13" t="str">
        <x:v>Passende analyse</x:v>
      </x:c>
      <x:c r="H5" s="13" t="str">
        <x:v>Benodigde onderzoekscontext</x:v>
      </x:c>
      <x:c r="I5" s="13" t="str">
        <x:v>Begrenzing / niet concluderen</x:v>
      </x:c>
      <x:c r="J5" s="13" t="str">
        <x:v>Bronnummers</x:v>
      </x:c>
      <x:c r="K5" s="13" t="str">
        <x:v>Bron-URL's</x:v>
      </x:c>
    </x:row>
    <x:row r="6" ht="105" customHeight="1">
      <x:c r="A6" s="38" t="str">
        <x:v>01.201</x:v>
      </x:c>
      <x:c r="B6" s="39" t="str">
        <x:v>Monitoring van amfibieën in Nederland (NEM)</x:v>
      </x:c>
      <x:c r="C6" s="39" t="str">
        <x:v>Beide leveringen</x:v>
      </x:c>
      <x:c r="D6" s="54" t="str">
        <x:v>TV</x:v>
      </x:c>
      <x:c r="E6" s="39" t="str">
        <x:v>TA bij telgerichte deelmethoden</x:v>
      </x:c>
      <x:c r="F6" s="39" t="str">
        <x:v>Verspreidingsverandering; aantalsindex voor soorten en deelmethoden met vergelijkbare tellingen.</x:v>
      </x:c>
      <x:c r="G6" s="39" t="str">
        <x:v>Bezettingsmodel of telmodel per soort en deelprotocol.</x:v>
      </x:c>
      <x:c r="H6" s="39" t="str">
        <x:v>Soort, deelprotocol, water/traject, bezoek, inspanning, levensstadium en niet-detecties.</x:v>
      </x:c>
      <x:c r="I6" s="39" t="str">
        <x:v>Algemene inventarisaties niet mengen met soortgerichte tellingen; telopzet bewijst nog geen voldoende lange reeks.</x:v>
      </x:c>
      <x:c r="J6" s="41" t="str">
        <x:v>69, 14</x:v>
      </x:c>
      <x:c r="K6" s="41" t="str">
        <x:v>https://ndff.nl/natuurdata/waarnemen-en-aanleveren/protocollen/01-203-monitoring-van-amfibieen-in-nederland-2015-nem/
https://longreads.cbs.nl/meetprogrammas-flora-en-fauna-2025/meetprogrammas/</x:v>
      </x:c>
    </x:row>
    <x:row r="7" ht="105" customHeight="1">
      <x:c r="A7" s="46" t="str">
        <x:v>02.202</x:v>
      </x:c>
      <x:c r="B7" s="47" t="str">
        <x:v>Korstmossen op steen, heiden en stuifzanden (NEM)</x:v>
      </x:c>
      <x:c r="C7" s="47" t="str">
        <x:v>Beide leveringen</x:v>
      </x:c>
      <x:c r="D7" s="54" t="str">
        <x:v>TK</x:v>
      </x:c>
      <x:c r="E7" s="47" t="str">
        <x:v>TV; abundantie-index afhankelijk van deelmeetnet</x:v>
      </x:c>
      <x:c r="F7" s="47" t="str">
        <x:v>Verandering in voorkomen, bedekking of abundantie op vaste meetlocaties.</x:v>
      </x:c>
      <x:c r="G7" s="47" t="str">
        <x:v>Herhaalde meetlocaties analyseren; de oorspronkelijke meetvariabele en schaal behouden.</x:v>
      </x:c>
      <x:c r="H7" s="47" t="str">
        <x:v>Locatie, substraat, oppervlakte, bezoekronde, waarnemer en gebruikte abundantieklasse.</x:v>
      </x:c>
      <x:c r="I7" s="47" t="str">
        <x:v>Geen uniforme aantalstrend voor alle deelmeetnetten; indicatorwaarden zijn geen directe milieumetingen.</x:v>
      </x:c>
      <x:c r="J7" s="49" t="str">
        <x:v>8</x:v>
      </x:c>
      <x:c r="K7" s="49" t="str">
        <x:v>https://ndff.nl/natuurdata/waarnemen-en-aanleveren/protocollen/2-202-korstmossen-op-steen-heiden-en-stuifzanden-nem/</x:v>
      </x:c>
    </x:row>
    <x:row r="8" ht="105" customHeight="1">
      <x:c r="A8" s="38" t="str">
        <x:v>02.204</x:v>
      </x:c>
      <x:c r="B8" s="39" t="str">
        <x:v>Meetnet mossen (NEM)</x:v>
      </x:c>
      <x:c r="C8" s="39" t="str">
        <x:v>Beide leveringen</x:v>
      </x:c>
      <x:c r="D8" s="54" t="str">
        <x:v>I</x:v>
      </x:c>
      <x:c r="E8" s="39" t="str">
        <x:v>TV bij aantoonbaar vergelijkbare herinventarisatie</x:v>
      </x:c>
      <x:c r="F8" s="39" t="str">
        <x:v>Verspreiding, relatieve zeldzaamheid en abundantieklassen in geïnventariseerde kilometerhokken.</x:v>
      </x:c>
      <x:c r="G8" s="39" t="str">
        <x:v>Analyse van geselecteerde hokken; trend pas na toetsing van herhaling en detectie.</x:v>
      </x:c>
      <x:c r="H8" s="39" t="str">
        <x:v>Steekproefselectie, volledige soortenlijst, hok, datum, tijdsbesteding, abundantieklasse.</x:v>
      </x:c>
      <x:c r="I8" s="39" t="str">
        <x:v>Een codebrede, gevalideerde tijdreeks is hier niet vastgesteld; niet verwarren met meetnet Geel schorpioenmos.</x:v>
      </x:c>
      <x:c r="J8" s="41" t="str">
        <x:v>67, 68, 9</x:v>
      </x:c>
      <x:c r="K8" s="41" t="str">
        <x:v>https://www.verspreidingsatlas.nl/projecten/blwg/meetnetmossen.aspx
https://www.gbif.org/dataset/2d1a33c3-f278-40d2-a662-e0d3369658e2
https://www.blwg.nl/onderzoek</x:v>
      </x:c>
    </x:row>
    <x:row r="9" ht="105" customHeight="1">
      <x:c r="A9" s="46" t="str">
        <x:v>03.001</x:v>
      </x:c>
      <x:c r="B9" s="47" t="str">
        <x:v>Gebiedsgerichte inventarisaties vlinders</x:v>
      </x:c>
      <x:c r="C9" s="47" t="str">
        <x:v>Beide leveringen</x:v>
      </x:c>
      <x:c r="D9" s="54" t="str">
        <x:v>V</x:v>
      </x:c>
      <x:c r="E9" s="47" t="str">
        <x:v>I met originele complete inventarisatie; TV conditioneel</x:v>
      </x:c>
      <x:c r="F9" s="47" t="str">
        <x:v>Vondstlocaties en aangetoonde soortensamenstelling van onderzochte gebieden.</x:v>
      </x:c>
      <x:c r="G9" s="47" t="str">
        <x:v>Verspreidingskaart; lijstvergelijking alleen met onderzoeksgrenzen en inspanning.</x:v>
      </x:c>
      <x:c r="H9" s="47" t="str">
        <x:v>Gebiedsbegrenzing, bezoekgegevens, doelsoorten en volledigheid van de lijst.</x:v>
      </x:c>
      <x:c r="I9" s="47" t="str">
        <x:v>De NDFF-code wordt als losse waarnemingen behandeld; geen gebieds- of aantalstrend uit recordtotalen.</x:v>
      </x:c>
      <x:c r="J9" s="49" t="str">
        <x:v>10</x:v>
      </x:c>
      <x:c r="K9" s="49" t="str">
        <x:v>https://ndff.nl/natuurdata/waarnemen-en-aanleveren/protocollen/3-001-gebiedsgerichte-inventarisaties-dagvlinders/</x:v>
      </x:c>
    </x:row>
    <x:row r="10" ht="105" customHeight="1">
      <x:c r="A10" s="38" t="str">
        <x:v>03.201</x:v>
      </x:c>
      <x:c r="B10" s="39" t="str">
        <x:v>Landelijk Meetnet Vlinders (NEM)</x:v>
      </x:c>
      <x:c r="C10" s="39" t="str">
        <x:v>Beide leveringen</x:v>
      </x:c>
      <x:c r="D10" s="54" t="str">
        <x:v>TA</x:v>
      </x:c>
      <x:c r="E10" s="39" t="str">
        <x:v>TV met passende detectieanalyse</x:v>
      </x:c>
      <x:c r="F10" s="39" t="str">
        <x:v>Relatieve aantalstrends van dagvlinders op routes en in een onderbouwde regionale of landelijke steekproef.</x:v>
      </x:c>
      <x:c r="G10" s="39" t="str">
        <x:v>Seizoens-/route-index en telmodel met locatie- en jaareffecten.</x:v>
      </x:c>
      <x:c r="H10" s="39" t="str">
        <x:v>Vaste route en secties, tellingen inclusief nulbezoeken, seizoen, weer en wijzigingen.</x:v>
      </x:c>
      <x:c r="I10" s="39" t="str">
        <x:v>Geen absolute dichtheid of lokale beheerwerking afleiden zonder aanvullende opzet.</x:v>
      </x:c>
      <x:c r="J10" s="41" t="str">
        <x:v>11</x:v>
      </x:c>
      <x:c r="K10" s="41" t="str">
        <x:v>https://ndff.nl/natuurdata/waarnemen-en-aanleveren/protocollen/3-201-landelijk-meetnet-vlinders-nem/</x:v>
      </x:c>
    </x:row>
    <x:row r="11" ht="105" customHeight="1">
      <x:c r="A11" s="46" t="str">
        <x:v>04.004</x:v>
      </x:c>
      <x:c r="B11" s="47" t="str">
        <x:v>Atlasproject Nederlandse Mollusken</x:v>
      </x:c>
      <x:c r="C11" s="47" t="str">
        <x:v>Beide leveringen</x:v>
      </x:c>
      <x:c r="D11" s="54" t="str">
        <x:v>V</x:v>
      </x:c>
      <x:c r="E11" s="47" t="str">
        <x:v>I bij complete bemonstering; TV bij vergelijkbare perioden</x:v>
      </x:c>
      <x:c r="F11" s="47" t="str">
        <x:v>Verspreidingskaarten, historische referenties en opsporing van kennislacunes.</x:v>
      </x:c>
      <x:c r="G11" s="47" t="str">
        <x:v>Inventarisatie of verspreidingsmodellering met expliciete verzamel- en zoekbias.</x:v>
      </x:c>
      <x:c r="H11" s="47" t="str">
        <x:v>Monster-/bezoekidentiteit, verzamelwijze, taxonomie, datum en ruimtelijke precisie.</x:v>
      </x:c>
      <x:c r="I11" s="47" t="str">
        <x:v>Geen homogene herhaalde telling onder de gehele atlascode; recordaantal is geen populatieomvang.</x:v>
      </x:c>
      <x:c r="J11" s="49" t="str">
        <x:v>12</x:v>
      </x:c>
      <x:c r="K11" s="49" t="str">
        <x:v>https://ndff.nl/natuurdata/waarnemen-en-aanleveren/protocollen/4-004-atlasproject-nederlandse-mollusken/</x:v>
      </x:c>
    </x:row>
    <x:row r="12" ht="105" customHeight="1">
      <x:c r="A12" s="38" t="str">
        <x:v>04.006</x:v>
      </x:c>
      <x:c r="B12" s="39" t="str">
        <x:v>Slakken van de Habitatrichtlijn</x:v>
      </x:c>
      <x:c r="C12" s="39" t="str">
        <x:v>Beide leveringen</x:v>
      </x:c>
      <x:c r="D12" s="54" t="str">
        <x:v>TV</x:v>
      </x:c>
      <x:c r="E12" s="39" t="str">
        <x:v>TA-index bij passende gestandaardiseerde monstertellingen</x:v>
      </x:c>
      <x:c r="F12" s="39" t="str">
        <x:v>Verandering in bezetting van onderzochte locaties en sublocaties van doelsoorten.</x:v>
      </x:c>
      <x:c r="G12" s="39" t="str">
        <x:v>Herhaalde bemonstering met detectiecorrectie; monsteraantallen apart analyseren.</x:v>
      </x:c>
      <x:c r="H12" s="39" t="str">
        <x:v>Soort, sublocatie, monsteromvang, zoekmethode, bezoeken en niet-detecties.</x:v>
      </x:c>
      <x:c r="I12" s="39" t="str">
        <x:v>Bezetting niet gelijkstellen aan aantallen; eventuele telindex alleen voor de daarvoor geschikte deelmethode.</x:v>
      </x:c>
      <x:c r="J12" s="41" t="str">
        <x:v>13, 14</x:v>
      </x:c>
      <x:c r="K12" s="41" t="str">
        <x:v>https://www.anemoon.org/projecten/natura2000/habslak-protocollen
https://longreads.cbs.nl/meetprogrammas-flora-en-fauna-2025/meetprogrammas/</x:v>
      </x:c>
    </x:row>
    <x:row r="13" ht="105" customHeight="1">
      <x:c r="A13" s="46" t="str">
        <x:v>10.002</x:v>
      </x:c>
      <x:c r="B13" s="47" t="str">
        <x:v>Environmental DNA-onderzoek</x:v>
      </x:c>
      <x:c r="C13" s="47" t="str">
        <x:v>Beide leveringen</x:v>
      </x:c>
      <x:c r="D13" s="54" t="str">
        <x:v>I</x:v>
      </x:c>
      <x:c r="E13" s="47" t="str">
        <x:v>TV bij herhaalde, gevalideerde bemonstering</x:v>
      </x:c>
      <x:c r="F13" s="47" t="str">
        <x:v>Aantonen van soortspecifiek DNA in een onderzocht monster en onderbouwde inferentie over voorkomen.</x:v>
      </x:c>
      <x:c r="G13" s="47" t="str">
        <x:v>Detectieanalyse met veld-/labreplicaten, blanco's en gevalideerde soortassay.</x:v>
      </x:c>
      <x:c r="H13" s="47" t="str">
        <x:v>Monsterlocatie, volume, datum, hydrologie, techniek, controles en detectielimiet.</x:v>
      </x:c>
      <x:c r="I13" s="47" t="str">
        <x:v>DNA kan worden verplaatst; concentratie of reads niet zonder kalibratie omrekenen naar aantallen dieren.</x:v>
      </x:c>
      <x:c r="J13" s="49" t="str">
        <x:v>15, 16</x:v>
      </x:c>
      <x:c r="K13" s="49" t="str">
        <x:v>https://ndff.nl/natuurdata/waarnemen-en-aanleveren/protocollen/10-002-environmental-dna-onderzoek/
https://onlinelibrary.wiley.com/doi/abs/10.1002/edn3.70073</x:v>
      </x:c>
    </x:row>
    <x:row r="14" ht="105" customHeight="1">
      <x:c r="A14" s="38" t="str">
        <x:v>102.002</x:v>
      </x:c>
      <x:c r="B14" s="39" t="str">
        <x:v>Jaarrond Tuintelling</x:v>
      </x:c>
      <x:c r="C14" s="39" t="str">
        <x:v>Beide leveringen</x:v>
      </x:c>
      <x:c r="D14" s="54" t="str">
        <x:v>I</x:v>
      </x:c>
      <x:c r="E14" s="39" t="str">
        <x:v>TV / TA met vergelijkbare herhaalde tuinbezoeken</x:v>
      </x:c>
      <x:c r="F14" s="39" t="str">
        <x:v>Voorkomen, seizoenpatronen en telresultaten in deelnemende tuinen.</x:v>
      </x:c>
      <x:c r="G14" s="39" t="str">
        <x:v>Herhaalde-tuinmodellen met telwijze, inspanning en waarnemer als covariaten.</x:v>
      </x:c>
      <x:c r="H14" s="39" t="str">
        <x:v>Vaste tuin, telduur, volledige doelgroepen, telwijze en veranderingen in tuininrichting.</x:v>
      </x:c>
      <x:c r="I14" s="39" t="str">
        <x:v>Weekmaxima en tijdtellingen gescheiden houden; deelnemende tuinen zijn geen aselecte landelijke steekproef.</x:v>
      </x:c>
      <x:c r="J14" s="41" t="str">
        <x:v>17</x:v>
      </x:c>
      <x:c r="K14" s="41" t="str">
        <x:v>https://ndff.nl/natuurdata/waarnemen-en-aanleveren/protocollen/102-002-jaarrond-tuintelling/</x:v>
      </x:c>
    </x:row>
    <x:row r="15" ht="105" customHeight="1">
      <x:c r="A15" s="46" t="str">
        <x:v>102.006</x:v>
      </x:c>
      <x:c r="B15" s="47" t="str">
        <x:v>ObsIdentify</x:v>
      </x:c>
      <x:c r="C15" s="47" t="str">
        <x:v>Beide leveringen</x:v>
      </x:c>
      <x:c r="D15" s="54" t="str">
        <x:v>V</x:v>
      </x:c>
      <x:c r="E15" s="47" t="str">
        <x:v>TV met aanvullende reconstructie en gevalideerd model</x:v>
      </x:c>
      <x:c r="F15" s="47" t="str">
        <x:v>Controleerbaar voorkomensbewijs, verspreidingskaarten en gerichte signalering.</x:v>
      </x:c>
      <x:c r="G15" s="47" t="str">
        <x:v>Validatie van determinatie, tijd en plaats; biasbewuste verspreidingsanalyse.</x:v>
      </x:c>
      <x:c r="H15" s="47" t="str">
        <x:v>Foto/bewijs, taxonomische zekerheid, locatieprecisie en oorspronkelijke waarnemings-ID.</x:v>
      </x:c>
      <x:c r="I15" s="47" t="str">
        <x:v>App-/herkomstlabel, geen telprotocol; groei in appgebruik niet interpreteren als populatiegroei.</x:v>
      </x:c>
      <x:c r="J15" s="49" t="str">
        <x:v>18, 71</x:v>
      </x:c>
      <x:c r="K15" s="49" t="str">
        <x:v>https://ndff.nl/natuurdata/waarnemen-en-aanleveren/protocollen/102-006-obsidentify/
https://besjournals.onlinelibrary.wiley.com/doi/full/10.1111/1365-2664.12158</x:v>
      </x:c>
    </x:row>
    <x:row r="16" ht="105" customHeight="1">
      <x:c r="A16" s="38" t="str">
        <x:v>104.000</x:v>
      </x:c>
      <x:c r="B16" s="39" t="str">
        <x:v>Waarnemingen uit literatuur</x:v>
      </x:c>
      <x:c r="C16" s="39" t="str">
        <x:v>Beide leveringen</x:v>
      </x:c>
      <x:c r="D16" s="54" t="str">
        <x:v>V</x:v>
      </x:c>
      <x:c r="E16" s="39" t="str">
        <x:v>Andere typen afhankelijk van de oorspronkelijke studie</x:v>
      </x:c>
      <x:c r="F16" s="39" t="str">
        <x:v>Historisch voorkomen en reconstructie van gedocumenteerde verspreiding.</x:v>
      </x:c>
      <x:c r="G16" s="39" t="str">
        <x:v>Bronkritiek en teruggaan naar oorspronkelijke observaties of onderzoeksopzet.</x:v>
      </x:c>
      <x:c r="H16" s="39" t="str">
        <x:v>Volledige bronverwijzing, waarnemingsdatum, locatie, taxonomie en ontdubbeling.</x:v>
      </x:c>
      <x:c r="I16" s="39" t="str">
        <x:v>Publicatiejaar niet gelijkstellen aan waarnemingsjaar; bronlabel kan verschillende methoden verbergen.</x:v>
      </x:c>
      <x:c r="J16" s="41" t="str">
        <x:v>66, 70</x:v>
      </x:c>
      <x:c r="K16" s="41" t="str">
        <x:v>https://ndff.nl/natuurdata/waarnemen-en-aanleveren/protocollen/
https://ndff.nl/natuurdata/waarnemen-en-aanleveren/protocollen/overzicht-waarnemingen-via-protocol/</x:v>
      </x:c>
    </x:row>
    <x:row r="17" ht="105" customHeight="1">
      <x:c r="A17" s="46" t="str">
        <x:v>105.000</x:v>
      </x:c>
      <x:c r="B17" s="47" t="str">
        <x:v>Waarnemingen uit collecties</x:v>
      </x:c>
      <x:c r="C17" s="47" t="str">
        <x:v>Beide leveringen</x:v>
      </x:c>
      <x:c r="D17" s="54" t="str">
        <x:v>V</x:v>
      </x:c>
      <x:c r="E17" s="47" t="str">
        <x:v>TV bij onderbouwde historische reconstructie</x:v>
      </x:c>
      <x:c r="F17" s="47" t="str">
        <x:v>Hercontroleerbaar historisch voorkomensbewijs, taxonomische revisie en verspreidingsreconstructie.</x:v>
      </x:c>
      <x:c r="G17" s="47" t="str">
        <x:v>Specimen- en etiketcontrole; historische analyse met verzamelbias.</x:v>
      </x:c>
      <x:c r="H17" s="47" t="str">
        <x:v>Collectie-/specimen-ID, verzamelaar, vindplaats, verzameldatum en determinatie.</x:v>
      </x:c>
      <x:c r="I17" s="47" t="str">
        <x:v>Aantal verzamelde exemplaren is geen directe trend in de populatie.</x:v>
      </x:c>
      <x:c r="J17" s="49" t="str">
        <x:v>19</x:v>
      </x:c>
      <x:c r="K17" s="49" t="str">
        <x:v>https://ndff.nl/natuurdata/waarnemen-en-aanleveren/protocollen/105-000-waarnemingen-uit-collecties/</x:v>
      </x:c>
    </x:row>
    <x:row r="18" ht="105" customHeight="1">
      <x:c r="A18" s="38" t="str">
        <x:v>11.201</x:v>
      </x:c>
      <x:c r="B18" s="39" t="str">
        <x:v>Meetnet Bospaddenstoelen (NEM)</x:v>
      </x:c>
      <x:c r="C18" s="39" t="str">
        <x:v>Beide leveringen</x:v>
      </x:c>
      <x:c r="D18" s="54" t="str">
        <x:v>TA</x:v>
      </x:c>
      <x:c r="E18" s="39" t="str">
        <x:v>Historische vruchtlichaamindex; protocol eindigde in 2016</x:v>
      </x:c>
      <x:c r="F18" s="39" t="str">
        <x:v>Verandering in getelde vruchtlichamen op vaste proefvlakken binnen het oude meetnet.</x:v>
      </x:c>
      <x:c r="G18" s="39" t="str">
        <x:v>Telmodel met proefvlak, seizoen en jaar; oorspronkelijke telreeks afzonderlijk houden.</x:v>
      </x:c>
      <x:c r="H18" s="39" t="str">
        <x:v>Vast proefvlak, bezoek, telinspanning, vruchtlichaamaantal, fenologie en methodeversie.</x:v>
      </x:c>
      <x:c r="I18" s="39" t="str">
        <x:v>Geen trend in schimmelindividuen of biomassa; niet ongewijzigd koppelen aan 11.204.</x:v>
      </x:c>
      <x:c r="J18" s="41" t="str">
        <x:v>20, 22</x:v>
      </x:c>
      <x:c r="K18" s="41" t="str">
        <x:v>https://ndff.nl/natuurdata/waarnemen-en-aanleveren/protocollen/11-201-meetnet-bospaddenstoelen-nem/
https://www.cbs.nl/nl-nl/onze-diensten/methoden/onderzoeksomschrijvingen/korte-onderzoeksomschrijvingen/paddenstoelenstatistiek</x:v>
      </x:c>
    </x:row>
    <x:row r="19" ht="105" customHeight="1">
      <x:c r="A19" s="46" t="str">
        <x:v>11.202</x:v>
      </x:c>
      <x:c r="B19" s="47" t="str">
        <x:v>Zeereeppaddenstoelen (NEM)</x:v>
      </x:c>
      <x:c r="C19" s="47" t="str">
        <x:v>Beide leveringen</x:v>
      </x:c>
      <x:c r="D19" s="54" t="str">
        <x:v>TV</x:v>
      </x:c>
      <x:c r="E19" s="47" t="str"/>
      <x:c r="F19" s="47" t="str">
        <x:v>Verspreidings- en bezettingstrends van doelsoorten in de zeereep.</x:v>
      </x:c>
      <x:c r="G19" s="47" t="str">
        <x:v>Bezettingsanalyse van kilometerhokken met herbezoeken en detectie-/lijstcorrectie.</x:v>
      </x:c>
      <x:c r="H19" s="47" t="str">
        <x:v>Hok, bezoeklijsten, herhaling, doelsoorten en onderzoeksinspanning.</x:v>
      </x:c>
      <x:c r="I19" s="47" t="str">
        <x:v>Geen automatische aantalstrend van vruchtlichamen of ondergrondse schimmels.</x:v>
      </x:c>
      <x:c r="J19" s="49" t="str">
        <x:v>21, 22</x:v>
      </x:c>
      <x:c r="K19" s="49" t="str">
        <x:v>https://ndff.nl/natuurdata/waarnemen-en-aanleveren/protocollen/11-202-zeereeppaddenstoelen/
https://www.cbs.nl/nl-nl/onze-diensten/methoden/onderzoeksomschrijvingen/korte-onderzoeksomschrijvingen/paddenstoelenstatistiek</x:v>
      </x:c>
    </x:row>
    <x:row r="20" ht="105" customHeight="1">
      <x:c r="A20" s="38" t="str">
        <x:v>12.001</x:v>
      </x:c>
      <x:c r="B20" s="39" t="str">
        <x:v>Streeplijsten kilometerhokken vaatplanten (FLORBASE)</x:v>
      </x:c>
      <x:c r="C20" s="39" t="str">
        <x:v>Beide leveringen</x:v>
      </x:c>
      <x:c r="D20" s="54" t="str">
        <x:v>I</x:v>
      </x:c>
      <x:c r="E20" s="39" t="str">
        <x:v>TV bij vergelijkbare herhaalde inventarisatie</x:v>
      </x:c>
      <x:c r="F20" s="39" t="str">
        <x:v>Soortenrijkdom en samenstelling van geïnventariseerde hokken; verspreidingsanalyse.</x:v>
      </x:c>
      <x:c r="G20" s="39" t="str">
        <x:v>Hok-/periodevergelijking met inspanning, volledigheid en detectie in het model.</x:v>
      </x:c>
      <x:c r="H20" s="39" t="str">
        <x:v>Volledige lijsten, waarnemer, bezoekdata, tijdsbesteding en taxonomische harmonisatie.</x:v>
      </x:c>
      <x:c r="I20" s="39" t="str">
        <x:v>Verschillende lijstlengtes of zoekintensiteit niet als ecologische verandering behandelen.</x:v>
      </x:c>
      <x:c r="J20" s="41" t="str">
        <x:v>23, 71</x:v>
      </x:c>
      <x:c r="K20" s="41" t="str">
        <x:v>https://ndff.nl/natuurdata/waarnemen-en-aanleveren/protocollen/12-001-totaalproject-floron/
https://besjournals.onlinelibrary.wiley.com/doi/full/10.1111/1365-2664.12158</x:v>
      </x:c>
    </x:row>
    <x:row r="21" ht="105" customHeight="1">
      <x:c r="A21" s="46" t="str">
        <x:v>12.002</x:v>
      </x:c>
      <x:c r="B21" s="47" t="str">
        <x:v>Bedreigde Soorten Project FLORON</x:v>
      </x:c>
      <x:c r="C21" s="47" t="str">
        <x:v>Beide leveringen</x:v>
      </x:c>
      <x:c r="D21" s="54" t="str">
        <x:v>I</x:v>
      </x:c>
      <x:c r="E21" s="47" t="str">
        <x:v>TV / TA bij vergelijkbare groeiplaatsherbezoeken</x:v>
      </x:c>
      <x:c r="F21" s="47" t="str">
        <x:v>Status, omvang en bedreigingen van onderzochte groeiplaatsen van doelsoorten.</x:v>
      </x:c>
      <x:c r="G21" s="47" t="str">
        <x:v>Gepaarde groeiplaatsvergelijking of geschikt tel-/bezettingsmodel.</x:v>
      </x:c>
      <x:c r="H21" s="47" t="str">
        <x:v>Historische en actuele locatie, zoekinspanning, tel-/abundantie-eenheid en niet-teruggevonden locaties.</x:v>
      </x:c>
      <x:c r="I21" s="47" t="str">
        <x:v>Gerichte selectie van zeldzame groeiplaatsen is geen representatieve steekproef van alle flora.</x:v>
      </x:c>
      <x:c r="J21" s="49" t="str">
        <x:v>24</x:v>
      </x:c>
      <x:c r="K21" s="49" t="str">
        <x:v>https://ndff.nl/natuurdata/waarnemen-en-aanleveren/protocollen/12-002-bedreigde-soorten-project-floron/</x:v>
      </x:c>
    </x:row>
    <x:row r="22" ht="105" customHeight="1">
      <x:c r="A22" s="38" t="str">
        <x:v>12.003</x:v>
      </x:c>
      <x:c r="B22" s="39" t="str">
        <x:v>Rode Lijst Project FLORON</x:v>
      </x:c>
      <x:c r="C22" s="39" t="str">
        <x:v>Beide leveringen</x:v>
      </x:c>
      <x:c r="D22" s="54" t="str">
        <x:v>I</x:v>
      </x:c>
      <x:c r="E22" s="39" t="str">
        <x:v>TV / TA bij vergelijkbare herhaalde metingen</x:v>
      </x:c>
      <x:c r="F22" s="39" t="str">
        <x:v>Voorkomen en vastgelegde populatiekenmerken van onderzochte Rode-Lijstsoorten.</x:v>
      </x:c>
      <x:c r="G22" s="39" t="str">
        <x:v>Groeiplaatsanalyse met consistente omvangklassen en onderzochte locaties.</x:v>
      </x:c>
      <x:c r="H22" s="39" t="str">
        <x:v>Groeiplaats-ID, soort, tel-/klasse-eenheid, datum en onderzoeksinspanning.</x:v>
      </x:c>
      <x:c r="I22" s="39" t="str">
        <x:v>Een Rode-Lijstdoel of abundantiewaarde is op zichzelf nog geen longitudinaal meetnet.</x:v>
      </x:c>
      <x:c r="J22" s="41" t="str">
        <x:v>25</x:v>
      </x:c>
      <x:c r="K22" s="41" t="str">
        <x:v>https://ndff.nl/natuurdata/waarnemen-en-aanleveren/protocollen/12-003-rode-lijst-project-floron/</x:v>
      </x:c>
    </x:row>
    <x:row r="23" ht="105" customHeight="1">
      <x:c r="A23" s="46" t="str">
        <x:v>12.004</x:v>
      </x:c>
      <x:c r="B23" s="47" t="str">
        <x:v>FLORIVON en Atlas van de Nederlandse Flora (1850–1975)</x:v>
      </x:c>
      <x:c r="C23" s="47" t="str">
        <x:v>Beide leveringen</x:v>
      </x:c>
      <x:c r="D23" s="54" t="str">
        <x:v>V</x:v>
      </x:c>
      <x:c r="E23" s="47" t="str">
        <x:v>TV bij geharmoniseerde historische vergelijking</x:v>
      </x:c>
      <x:c r="F23" s="47" t="str">
        <x:v>Historische verspreidingsreferentie en reconstructie van verandering tussen perioden.</x:v>
      </x:c>
      <x:c r="G23" s="47" t="str">
        <x:v>Vergelijking op gemeenschappelijke taxonomische en ruimtelijke resolutie; bemonstering corrigeren.</x:v>
      </x:c>
      <x:c r="H23" s="47" t="str">
        <x:v>Oorspronkelijke waarnemingsperioden, locatieschaal, naamgeving en brondekking.</x:v>
      </x:c>
      <x:c r="I23" s="47" t="str">
        <x:v>Atlaspublicatiejaar en gegevensperiode onderscheiden; geen ruwe recordratio als trend.</x:v>
      </x:c>
      <x:c r="J23" s="49" t="str">
        <x:v>26</x:v>
      </x:c>
      <x:c r="K23" s="49" t="str">
        <x:v>https://ndff.nl/natuurdata/waarnemen-en-aanleveren/protocollen/12-004-atlasgegevens-atlas-van-de-nederlandse-flora-1980-1989/</x:v>
      </x:c>
    </x:row>
    <x:row r="24" ht="105" customHeight="1">
      <x:c r="A24" s="38" t="str">
        <x:v>12.006</x:v>
      </x:c>
      <x:c r="B24" s="39" t="str">
        <x:v>Detailwaarnemingen FLORON (FLORBASE)</x:v>
      </x:c>
      <x:c r="C24" s="39" t="str">
        <x:v>Beide leveringen</x:v>
      </x:c>
      <x:c r="D24" s="54" t="str">
        <x:v>V</x:v>
      </x:c>
      <x:c r="E24" s="39" t="str">
        <x:v>I / TV wanneer de oorspronkelijke projectcontext beschikbaar is</x:v>
      </x:c>
      <x:c r="F24" s="39" t="str">
        <x:v>Precieze groeiplaatsen, verspreiding en signalering van bijzondere vondsten.</x:v>
      </x:c>
      <x:c r="G24" s="39" t="str">
        <x:v>Voorkomensanalyse; projecten scheiden voordat vergelijkingen worden gemaakt.</x:v>
      </x:c>
      <x:c r="H24" s="39" t="str">
        <x:v>Projectherkomst, precisie, datum, determinatie en eventuele bezoekgegevens.</x:v>
      </x:c>
      <x:c r="I24" s="39" t="str">
        <x:v>Heterogene detail- en losse waarnemingen niet als één telreeks behandelen.</x:v>
      </x:c>
      <x:c r="J24" s="41" t="str">
        <x:v>27</x:v>
      </x:c>
      <x:c r="K24" s="41" t="str">
        <x:v>https://ndff.nl/natuurdata/waarnemen-en-aanleveren/protocollen/12-006-florabase-overige-losse-waarnemingen-na-1993/</x:v>
      </x:c>
    </x:row>
    <x:row r="25" ht="105" customHeight="1">
      <x:c r="A25" s="46" t="str">
        <x:v>12.007</x:v>
      </x:c>
      <x:c r="B25" s="47" t="str">
        <x:v>Vegetatieopnamen</x:v>
      </x:c>
      <x:c r="C25" s="47" t="str">
        <x:v>Beide leveringen</x:v>
      </x:c>
      <x:c r="D25" s="54" t="str">
        <x:v>I</x:v>
      </x:c>
      <x:c r="E25" s="47" t="str">
        <x:v>TK bij vergelijkbare heropnamen</x:v>
      </x:c>
      <x:c r="F25" s="47" t="str">
        <x:v>Vegetatiesamenstelling, soortenco-existentie en bedekking waar deze is vastgelegd.</x:v>
      </x:c>
      <x:c r="G25" s="47" t="str">
        <x:v>Vegetatieclassificatie of multivariate analyse; herhaalde opnamen voor verandering.</x:v>
      </x:c>
      <x:c r="H25" s="47" t="str">
        <x:v>Plotgeometrie, oppervlakte, datum, soortenlijst, bedekkingsschaal en protocol.</x:v>
      </x:c>
      <x:c r="I25" s="47" t="str">
        <x:v>Niet iedere opname is een permanent proefvlak; ordinale bedekkingsklassen niet blind middelen.</x:v>
      </x:c>
      <x:c r="J25" s="49" t="str">
        <x:v>28</x:v>
      </x:c>
      <x:c r="K25" s="49" t="str">
        <x:v>https://ndff.nl/natuurdata/waarnemen-en-aanleveren/protocollen/12-007-vegetatieopname/</x:v>
      </x:c>
    </x:row>
    <x:row r="26" ht="105" customHeight="1">
      <x:c r="A26" s="38" t="str">
        <x:v>12.015</x:v>
      </x:c>
      <x:c r="B26" s="39" t="str">
        <x:v>Florakartering Staatsbosbeheer</x:v>
      </x:c>
      <x:c r="C26" s="39" t="str">
        <x:v>Beide leveringen</x:v>
      </x:c>
      <x:c r="D26" s="54" t="str">
        <x:v>I</x:v>
      </x:c>
      <x:c r="E26" s="39" t="str">
        <x:v>Voorlopige indeling; TK / TV alleen na methodecontrole</x:v>
      </x:c>
      <x:c r="F26" s="39" t="str">
        <x:v>Groeiplaatsen en lokale floristische toestand, voor zover de originele kartering dit vastlegt.</x:v>
      </x:c>
      <x:c r="G26" s="39" t="str">
        <x:v>Eerst karteerinstructie en oorspronkelijke inventarisatie reconstrueren.</x:v>
      </x:c>
      <x:c r="H26" s="39" t="str">
        <x:v>Doelsoortenlijst, karteergrens, schaal, abundantie-eenheid, seizoen en herhalingsopzet.</x:v>
      </x:c>
      <x:c r="I26" s="39" t="str">
        <x:v>Een uniforme methode voor alle records onder deze code: dit kan ik niet verifiëren. Zonder context minimaal V.</x:v>
      </x:c>
      <x:c r="J26" s="41" t="str">
        <x:v>29, 70</x:v>
      </x:c>
      <x:c r="K26" s="41" t="str">
        <x:v>https://www.altwym.nl/projecten/florakartering-terschelling/
https://ndff.nl/natuurdata/waarnemen-en-aanleveren/protocollen/overzicht-waarnemingen-via-protocol/</x:v>
      </x:c>
    </x:row>
    <x:row r="27" ht="105" customHeight="1">
      <x:c r="A27" s="46" t="str">
        <x:v>12.202</x:v>
      </x:c>
      <x:c r="B27" s="47" t="str">
        <x:v>Landelijk Meetnet Flora – Milieu- en Natuurkwaliteit (NEM)</x:v>
      </x:c>
      <x:c r="C27" s="47" t="str">
        <x:v>Beide leveringen</x:v>
      </x:c>
      <x:c r="D27" s="54" t="str">
        <x:v>TK</x:v>
      </x:c>
      <x:c r="E27" s="47" t="str">
        <x:v>TV / verandering in bedekking binnen de bemonsterde vegetatie</x:v>
      </x:c>
      <x:c r="F27" s="47" t="str">
        <x:v>Trends in samenstelling, bedekking en afgeleide vegetatie-/milieu-indicatoren.</x:v>
      </x:c>
      <x:c r="G27" s="47" t="str">
        <x:v>Analyse van herhaalde permanente proefvlakken en consistente indicatorberekeningen.</x:v>
      </x:c>
      <x:c r="H27" s="47" t="str">
        <x:v>Proefvlak-ID/geometrie, volledige opname, bedekkingsschaal, herhaalronde en weging.</x:v>
      </x:c>
      <x:c r="I27" s="47" t="str">
        <x:v>Plantindicatoren zijn geen directe chemische meting en bewijzen geen oorzaak.</x:v>
      </x:c>
      <x:c r="J27" s="49" t="str">
        <x:v>30</x:v>
      </x:c>
      <x:c r="K27" s="49" t="str">
        <x:v>https://ndff.nl/natuurdata/waarnemen-en-aanleveren/protocollen/12-202-landelijk-meetnet-flora-milieu-en-natuurkwaliteit/</x:v>
      </x:c>
    </x:row>
    <x:row r="28" ht="105" customHeight="1">
      <x:c r="A28" s="38" t="str">
        <x:v>12.204</x:v>
      </x:c>
      <x:c r="B28" s="39" t="str">
        <x:v>Het Nieuwe Strepen (NEM)</x:v>
      </x:c>
      <x:c r="C28" s="39" t="str">
        <x:v>Beide leveringen</x:v>
      </x:c>
      <x:c r="D28" s="54" t="str">
        <x:v>TV</x:v>
      </x:c>
      <x:c r="E28" s="39" t="str"/>
      <x:c r="F28" s="39" t="str">
        <x:v>Verandering in verspreiding van vaatplanten binnen gedefinieerde kilometerhokken.</x:v>
      </x:c>
      <x:c r="G28" s="39" t="str">
        <x:v>Bezettings-/detectieanalyse van onafhankelijke inventarisaties en herhaalde perioden.</x:v>
      </x:c>
      <x:c r="H28" s="39" t="str">
        <x:v>Hokselectie, onafhankelijke bezoeken, volledige lijsten, duur en doelsoorten.</x:v>
      </x:c>
      <x:c r="I28" s="39" t="str">
        <x:v>Geen aantalstrend van planten uit aantallen bezette hokken.</x:v>
      </x:c>
      <x:c r="J28" s="41" t="str">
        <x:v>31</x:v>
      </x:c>
      <x:c r="K28" s="41" t="str">
        <x:v>https://ndff.nl/natuurdata/waarnemen-en-aanleveren/protocollen/12-204-nieuwe-strepen-floron-nem/</x:v>
      </x:c>
    </x:row>
    <x:row r="29" ht="114" customHeight="1">
      <x:c r="A29" s="46" t="str">
        <x:v>12.205</x:v>
      </x:c>
      <x:c r="B29" s="47" t="str">
        <x:v>Monitoring Beoordeling Natuurkwaliteit EHS–N2000 (SNL-2014)</x:v>
      </x:c>
      <x:c r="C29" s="47" t="str">
        <x:v>Beide leveringen</x:v>
      </x:c>
      <x:c r="D29" s="54" t="str">
        <x:v>TK</x:v>
      </x:c>
      <x:c r="E29" s="47" t="str">
        <x:v>Bij vergelijkbare complete monitoringsronden; anders I</x:v>
      </x:c>
      <x:c r="F29" s="47" t="str">
        <x:v>Toestand en verandering van expliciet gedefinieerde natuurkwaliteitsindicatoren per beheertype.</x:v>
      </x:c>
      <x:c r="G29" s="47" t="str">
        <x:v>Vergelijk complete beoordelingsronden na harmonisatie van criteria en gebiedsgrenzen.</x:v>
      </x:c>
      <x:c r="H29" s="47" t="str">
        <x:v>Monitoringsonderdeel, doelsoorten, karteergebied, beheertype, ronde en protocolversie.</x:v>
      </x:c>
      <x:c r="I29" s="47" t="str">
        <x:v>Soortpunten alleen zijn geen volledige kwaliteitsbeoordeling; geen automatische jaarlijkse populatietrend.</x:v>
      </x:c>
      <x:c r="J29" s="49" t="str">
        <x:v>32, 33</x:v>
      </x:c>
      <x:c r="K29" s="49" t="str">
        <x:v>https://ndff.nl/natuurdata/waarnemen-en-aanleveren/protocollen/12-205-uniforme-werkwijze-monitoring-natuurnetwerk-snl/
https://www.bij12.nl/onderwerp/natuurinformatie/monitoring-en-natuurinformatie/werkwijze-monitoring-beoordeling-natuurnetwerk-natura-2000/</x:v>
      </x:c>
    </x:row>
    <x:row r="30" ht="105" customHeight="1">
      <x:c r="A30" s="38" t="str">
        <x:v>12.211</x:v>
      </x:c>
      <x:c r="B30" s="39" t="str">
        <x:v>Landelijk Meetnet Flora-aandachtssoorten</x:v>
      </x:c>
      <x:c r="C30" s="39" t="str">
        <x:v>Beide leveringen</x:v>
      </x:c>
      <x:c r="D30" s="54" t="str">
        <x:v>TA</x:v>
      </x:c>
      <x:c r="E30" s="39" t="str">
        <x:v>TK via expliciet gedefinieerde afgeleide indicatoren</x:v>
      </x:c>
      <x:c r="F30" s="39" t="str">
        <x:v>Routegebonden verandering in aantallen/abundantie van aandachtssoorten.</x:v>
      </x:c>
      <x:c r="G30" s="39" t="str">
        <x:v>Herhaalde routeanalyse met behoud van de oorspronkelijke teleenheid en telcyclus.</x:v>
      </x:c>
      <x:c r="H30" s="39" t="str">
        <x:v>Routegeometrie en -ID, bezoeken, soortenlijst, telgegevens en niet-detecties.</x:v>
      </x:c>
      <x:c r="I30" s="39" t="str">
        <x:v>NDFF-punten zonder de in Verspreidingsatlas bewaarde routes zijn geen volledige analysetabel.</x:v>
      </x:c>
      <x:c r="J30" s="41" t="str">
        <x:v>34</x:v>
      </x:c>
      <x:c r="K30" s="41" t="str">
        <x:v>https://ndff.nl/natuurdata/waarnemen-en-aanleveren/protocollen/12-211-landelijk-meetnet-flora-aandachtssoorten-lmf-a/</x:v>
      </x:c>
    </x:row>
    <x:row r="31" ht="105" customHeight="1">
      <x:c r="A31" s="46" t="str">
        <x:v>13.202</x:v>
      </x:c>
      <x:c r="B31" s="47" t="str">
        <x:v>RAVON Meetnet Natura 2000 amfibieën en vissen</x:v>
      </x:c>
      <x:c r="C31" s="47" t="str">
        <x:v>Beide leveringen</x:v>
      </x:c>
      <x:c r="D31" s="54" t="str">
        <x:v>TV</x:v>
      </x:c>
      <x:c r="E31" s="47" t="str">
        <x:v>TA bij telgerichte deelmethoden</x:v>
      </x:c>
      <x:c r="F31" s="47" t="str">
        <x:v>Verandering in bezetting en, waar daadwerkelijk geteld wordt, een aantalstrend van doelsoorten.</x:v>
      </x:c>
      <x:c r="G31" s="47" t="str">
        <x:v>Soort- en methodegebonden bezettings- of telanalyse; bemonsteringseenheden behouden.</x:v>
      </x:c>
      <x:c r="H31" s="47" t="str">
        <x:v>Water-/monsterlocatie, soort, bemonsteringsmethode, inspanning, herhaling en detectie.</x:v>
      </x:c>
      <x:c r="I31" s="47" t="str">
        <x:v>eDNA, visvangsten en amfibieëntellingen niet onder één uniforme aantalstrend samenvoegen.</x:v>
      </x:c>
      <x:c r="J31" s="49" t="str">
        <x:v>35, 14</x:v>
      </x:c>
      <x:c r="K31" s="49" t="str">
        <x:v>https://www.ravon.nl/publicaties/handleiding-meetnet-amfibieen-en-vissen-in-natura-2000-gebieden/
https://longreads.cbs.nl/meetprogrammas-flora-en-fauna-2025/meetprogrammas/</x:v>
      </x:c>
    </x:row>
    <x:row r="32" ht="105" customHeight="1">
      <x:c r="A32" s="38" t="str">
        <x:v>14.204</x:v>
      </x:c>
      <x:c r="B32" s="39" t="str">
        <x:v>Punt Transect Telling</x:v>
      </x:c>
      <x:c r="C32" s="39" t="str">
        <x:v>Beide leveringen</x:v>
      </x:c>
      <x:c r="D32" s="54" t="str">
        <x:v>TA</x:v>
      </x:c>
      <x:c r="E32" s="39" t="str"/>
      <x:c r="F32" s="39" t="str">
        <x:v>Relatieve aantalstrend van vogels in de winter op vaste telpunten.</x:v>
      </x:c>
      <x:c r="G32" s="39" t="str">
        <x:v>Analyse van punt-/routetellingen met locatie- en jaareffecten.</x:v>
      </x:c>
      <x:c r="H32" s="39" t="str">
        <x:v>Vaste punten, telduur, winterperiode, volledige telling en wijzigingen.</x:v>
      </x:c>
      <x:c r="I32" s="39" t="str">
        <x:v>Geen broedvogeltrend; geen absolute populatieschatting zonder extra onderbouwing.</x:v>
      </x:c>
      <x:c r="J32" s="41" t="str">
        <x:v>36</x:v>
      </x:c>
      <x:c r="K32" s="41" t="str">
        <x:v>https://sovon.nl/tellen/telprojecten/punt-transect-telling-ptt</x:v>
      </x:c>
    </x:row>
    <x:row r="33" ht="105" customHeight="1">
      <x:c r="A33" s="46" t="str">
        <x:v>17.002</x:v>
      </x:c>
      <x:c r="B33" s="47" t="str">
        <x:v>Braakbalonderzoek</x:v>
      </x:c>
      <x:c r="C33" s="47" t="str">
        <x:v>Beide leveringen</x:v>
      </x:c>
      <x:c r="D33" s="54" t="str">
        <x:v>TV</x:v>
      </x:c>
      <x:c r="E33" s="47" t="str">
        <x:v>Voor de herhaalde NEM-uitwerking; losse monsters minimaal V</x:v>
      </x:c>
      <x:c r="F33" s="47" t="str">
        <x:v>Verspreiding en verspreidingsverandering van kleine zoogdieren in het jachtgebied van uilen.</x:v>
      </x:c>
      <x:c r="G33" s="47" t="str">
        <x:v>Bezettingsanalyse met monsteromvang, herhaling en samenstelling van monsters.</x:v>
      </x:c>
      <x:c r="H33" s="47" t="str">
        <x:v>Roest-/nestlocatie, verzamelperiode, monster-ID, prooisamenstelling en aantallen onderzochte resten.</x:v>
      </x:c>
      <x:c r="I33" s="47" t="str">
        <x:v>Prooiaantallen zijn geen directe populatieaantallen; vindplaats braakbal is niet exacte vangplaats.</x:v>
      </x:c>
      <x:c r="J33" s="49" t="str">
        <x:v>37, 14</x:v>
      </x:c>
      <x:c r="K33" s="49" t="str">
        <x:v>https://ndff.nl/natuurdata/waarnemen-en-aanleveren/protocollen/17-002-braakbalonderzoek-nem/
https://longreads.cbs.nl/meetprogrammas-flora-en-fauna-2025/meetprogrammas/</x:v>
      </x:c>
    </x:row>
    <x:row r="34" ht="105" customHeight="1">
      <x:c r="A34" s="38" t="str">
        <x:v>17.005</x:v>
      </x:c>
      <x:c r="B34" s="39" t="str">
        <x:v>Atlas van de Nederlandse Zoogdieren 1992</x:v>
      </x:c>
      <x:c r="C34" s="39" t="str">
        <x:v>Beide leveringen</x:v>
      </x:c>
      <x:c r="D34" s="54" t="str">
        <x:v>V</x:v>
      </x:c>
      <x:c r="E34" s="39" t="str">
        <x:v>TV bij gekalibreerde vergelijking van onderzoeksperioden</x:v>
      </x:c>
      <x:c r="F34" s="39" t="str">
        <x:v>Historische verspreidingsreferentie van zoogdieren.</x:v>
      </x:c>
      <x:c r="G34" s="39" t="str">
        <x:v>Atlasvergelijking na harmonisatie van resolutie, soorten en onderzoeksdekking.</x:v>
      </x:c>
      <x:c r="H34" s="39" t="str">
        <x:v>Oorspronkelijke data/periode, atlasmethode, taxonomie en geografische onzekerheid.</x:v>
      </x:c>
      <x:c r="I34" s="39" t="str">
        <x:v>Atlasjaar 1992 is geen universeel waarnemingsjaar; geen jaarlijkse populatietrend.</x:v>
      </x:c>
      <x:c r="J34" s="41" t="str">
        <x:v>38</x:v>
      </x:c>
      <x:c r="K34" s="41" t="str">
        <x:v>https://ndff.nl/natuurdata/waarnemen-en-aanleveren/protocollen/17-005-atlas-van-de-nederlandse-zoogdieren-1992/</x:v>
      </x:c>
    </x:row>
    <x:row r="35" ht="105" customHeight="1">
      <x:c r="A35" s="46" t="str">
        <x:v>17.006</x:v>
      </x:c>
      <x:c r="B35" s="47" t="str">
        <x:v>Atlas van de Nederlandse Vleermuizen 1997</x:v>
      </x:c>
      <x:c r="C35" s="47" t="str">
        <x:v>Beide leveringen</x:v>
      </x:c>
      <x:c r="D35" s="54" t="str">
        <x:v>V</x:v>
      </x:c>
      <x:c r="E35" s="47" t="str">
        <x:v>I voor oorspronkelijke functie-informatie; TV conditioneel</x:v>
      </x:c>
      <x:c r="F35" s="47" t="str">
        <x:v>Historisch voorkomen en waar vastgelegd functies of verblijfplaatsen.</x:v>
      </x:c>
      <x:c r="G35" s="47" t="str">
        <x:v>Historische vergelijking na correctie voor detectietechniek en waarnemingsinspanning.</x:v>
      </x:c>
      <x:c r="H35" s="47" t="str">
        <x:v>Onderzoeksperiode, detector-/inventarisatiemethode, functie en ruimtelijke precisie.</x:v>
      </x:c>
      <x:c r="I35" s="47" t="str">
        <x:v>Techniek- en kennisontwikkeling kunnen schijnbare toename veroorzaken; geen homogene jaarlijkse telreeks.</x:v>
      </x:c>
      <x:c r="J35" s="49" t="str">
        <x:v>39</x:v>
      </x:c>
      <x:c r="K35" s="49" t="str">
        <x:v>https://ndff.nl/natuurdata/waarnemen-en-aanleveren/protocollen/17-006-atlas-van-de-nederlandse-vleermuizen-1997/</x:v>
      </x:c>
    </x:row>
    <x:row r="36" ht="105" customHeight="1">
      <x:c r="A36" s="38" t="str">
        <x:v>17.007</x:v>
      </x:c>
      <x:c r="B36" s="39" t="str">
        <x:v>Bestrijding Muskusratten en Beverratten</x:v>
      </x:c>
      <x:c r="C36" s="39" t="str">
        <x:v>Beide leveringen</x:v>
      </x:c>
      <x:c r="D36" s="54" t="str">
        <x:v>V</x:v>
      </x:c>
      <x:c r="E36" s="39" t="str">
        <x:v>Beheer-/vangststatistiek; populatie-index alleen met aanvullende modellering</x:v>
      </x:c>
      <x:c r="F36" s="39" t="str">
        <x:v>Voorkomen en registratie van verwijderde dieren of operationele vangstresultaten.</x:v>
      </x:c>
      <x:c r="G36" s="39" t="str">
        <x:v>Vangst-per-inspanning alleen na controle van vangmiddel, plaatsing en effecten van verwijdering.</x:v>
      </x:c>
      <x:c r="H36" s="39" t="str">
        <x:v>Vanglocatie, datum, vangmiddel, inzet/valnachten, vangststrategie en wegvanghistorie.</x:v>
      </x:c>
      <x:c r="I36" s="39" t="str">
        <x:v>Meer of minder vangsten kan inzet of succes van bestrijding weerspiegelen; niet rechtstreeks een populatietrend.</x:v>
      </x:c>
      <x:c r="J36" s="41" t="str">
        <x:v>40</x:v>
      </x:c>
      <x:c r="K36" s="41" t="str">
        <x:v>https://ndff.nl/natuurdata/waarnemen-en-aanleveren/protocollen/17-007-bestrijding-muskus-en-beverratten/</x:v>
      </x:c>
    </x:row>
    <x:row r="37" ht="105" customHeight="1">
      <x:c r="A37" s="46" t="str">
        <x:v>17.204</x:v>
      </x:c>
      <x:c r="B37" s="47" t="str">
        <x:v>Dagactieve Zoogdieren-Broedvogel Monitoring Project (DAZ-BMP) (NEM)</x:v>
      </x:c>
      <x:c r="C37" s="47" t="str">
        <x:v>Beide leveringen</x:v>
      </x:c>
      <x:c r="D37" s="54" t="str">
        <x:v>TA</x:v>
      </x:c>
      <x:c r="E37" s="47" t="str">
        <x:v>V voor incidentele niet-trendgeschikte nevenwaarnemingen</x:v>
      </x:c>
      <x:c r="F37" s="47" t="str">
        <x:v>Relatieve aantalstrends van voldoende getelde dagactieve zoogdiersoorten.</x:v>
      </x:c>
      <x:c r="G37" s="47" t="str">
        <x:v>Telmodel op terugkerende BMP-gebieden/bezoeken, met soortgerichte geschiktheidstoets.</x:v>
      </x:c>
      <x:c r="H37" s="47" t="str">
        <x:v>BMP-gebied en bezoek, inspanning, getelde doelsoorten en nul-/ontbrekende tellingen.</x:v>
      </x:c>
      <x:c r="I37" s="47" t="str">
        <x:v>Niet iedere aangetroffen zoogdiersoort levert een betrouwbare trend; geen automatisch resultaat voor kleine gebiedsuitsneden.</x:v>
      </x:c>
      <x:c r="J37" s="49" t="str">
        <x:v>41, 73</x:v>
      </x:c>
      <x:c r="K37" s="49" t="str">
        <x:v>https://longreads.cbs.nl/meetprogrammas-flora-en-fauna-2022/meetprogrammas/
https://www.cbs.nl/nl-nl/onze-diensten/methoden/onderzoeksomschrijvingen/korte-onderzoeksomschrijvingen/zoogdierenstatistiek</x:v>
      </x:c>
    </x:row>
    <x:row r="38" ht="105" customHeight="1">
      <x:c r="A38" s="38" t="str">
        <x:v>17.208</x:v>
      </x:c>
      <x:c r="B38" s="39" t="str">
        <x:v>Vleermuistransecttelling (NEM)</x:v>
      </x:c>
      <x:c r="C38" s="39" t="str">
        <x:v>Beide leveringen</x:v>
      </x:c>
      <x:c r="D38" s="54" t="str">
        <x:v>TA</x:v>
      </x:c>
      <x:c r="E38" s="39" t="str">
        <x:v>Akoestische activiteits-/abundantie-index</x:v>
      </x:c>
      <x:c r="F38" s="39" t="str">
        <x:v>Verandering in gestandaardiseerde akoestische detectie van doelsoorten langs transecten.</x:v>
      </x:c>
      <x:c r="G38" s="39" t="str">
        <x:v>Analyse van routegebonden akoestische index met vaste verwerking.</x:v>
      </x:c>
      <x:c r="H38" s="39" t="str">
        <x:v>Route, snelheid/duur, seizoen, weer, detectorinstelling, classificatie en meeteenheid.</x:v>
      </x:c>
      <x:c r="I38" s="39" t="str">
        <x:v>Geluidscontacten zijn geen afzonderlijk herkenbare individuen; geen directe absolute populatietelling.</x:v>
      </x:c>
      <x:c r="J38" s="41" t="str">
        <x:v>42</x:v>
      </x:c>
      <x:c r="K38" s="41" t="str">
        <x:v>https://ndff.nl/natuurdata/waarnemen-en-aanleveren/protocollen/17-208-vleermuistransecttelling-nem/</x:v>
      </x:c>
    </x:row>
    <x:row r="39" ht="105" customHeight="1">
      <x:c r="A39" s="46" t="str">
        <x:v>17.209</x:v>
      </x:c>
      <x:c r="B39" s="47" t="str">
        <x:v>Konijnen in de duinen (NEM)</x:v>
      </x:c>
      <x:c r="C39" s="47" t="str">
        <x:v>Beide leveringen</x:v>
      </x:c>
      <x:c r="D39" s="54" t="str">
        <x:v>TA</x:v>
      </x:c>
      <x:c r="E39" s="47" t="str"/>
      <x:c r="F39" s="47" t="str">
        <x:v>Relatieve aantalstrend van konijnen langs de getelde duinroutes.</x:v>
      </x:c>
      <x:c r="G39" s="47" t="str">
        <x:v>Herhaalde route-/seizoensanalyse; weging en representativiteit van de routes toetsen.</x:v>
      </x:c>
      <x:c r="H39" s="47" t="str">
        <x:v>Vaste route, licht-/telwijze, seizoen, herhaalbezoeken en veranderingen in zichtbaarheid.</x:v>
      </x:c>
      <x:c r="I39" s="47" t="str">
        <x:v>Trend langs routes niet zonder representativiteitstoets extrapoleren naar het gehele duingebied.</x:v>
      </x:c>
      <x:c r="J39" s="49" t="str">
        <x:v>41, 14</x:v>
      </x:c>
      <x:c r="K39" s="49" t="str">
        <x:v>https://longreads.cbs.nl/meetprogrammas-flora-en-fauna-2022/meetprogrammas/
https://longreads.cbs.nl/meetprogrammas-flora-en-fauna-2025/meetprogrammas/</x:v>
      </x:c>
    </x:row>
    <x:row r="40" ht="105" customHeight="1">
      <x:c r="A40" s="38" t="str">
        <x:v>17.210</x:v>
      </x:c>
      <x:c r="B40" s="39" t="str">
        <x:v>Uitvliegtellingen meervleermuizen</x:v>
      </x:c>
      <x:c r="C40" s="39" t="str">
        <x:v>Beide leveringen</x:v>
      </x:c>
      <x:c r="D40" s="54" t="str">
        <x:v>TA</x:v>
      </x:c>
      <x:c r="E40" s="39" t="str">
        <x:v>Voor volledige, geldige tellingen van doelgroepen</x:v>
      </x:c>
      <x:c r="F40" s="39" t="str">
        <x:v>Verandering in groepsgrootte van volwassen vrouwtjes bij onderzochte verblijven.</x:v>
      </x:c>
      <x:c r="G40" s="39" t="str">
        <x:v>Kolonie-/verblijfplaatsreeks met kwaliteitsselectie en afstemming tussen uitvliegopeningen.</x:v>
      </x:c>
      <x:c r="H40" s="39" t="str">
        <x:v>Verblijf, datum, telvolledigheid, uitgangen, tellingmethode en eventuele verhuizing.</x:v>
      </x:c>
      <x:c r="I40" s="39" t="str">
        <x:v>Onvolledige tellingen staan ook in NDFF maar worden uitgesloten van de officiële trend.</x:v>
      </x:c>
      <x:c r="J40" s="41" t="str">
        <x:v>43</x:v>
      </x:c>
      <x:c r="K40" s="41" t="str">
        <x:v>https://ndff.nl/natuurdata/waarnemen-en-aanleveren/protocollen/17-210-uitvliegtellingen-meervleermuizen-nem/</x:v>
      </x:c>
    </x:row>
    <x:row r="41" ht="105" customHeight="1">
      <x:c r="A41" s="46" t="str">
        <x:v>17.506</x:v>
      </x:c>
      <x:c r="B41" s="47" t="str">
        <x:v>Vleermuisprotocol 2021</x:v>
      </x:c>
      <x:c r="C41" s="47" t="str">
        <x:v>Beide leveringen</x:v>
      </x:c>
      <x:c r="D41" s="54" t="str">
        <x:v>I</x:v>
      </x:c>
      <x:c r="E41" s="47" t="str">
        <x:v>TV / TA alleen binnen een aanvullend meerjarig ontwerp</x:v>
      </x:c>
      <x:c r="F41" s="47" t="str">
        <x:v>Aanwezigheid en ecologische functies van het onderzochte gebied voor vleermuizen.</x:v>
      </x:c>
      <x:c r="G41" s="47" t="str">
        <x:v>Integratie van voorgeschreven bezoeken tot functie- en verblijfplaatsinventarisatie.</x:v>
      </x:c>
      <x:c r="H41" s="47" t="str">
        <x:v>Soort, onderzoeksfunctie, periode, bezoekduur, weer, waarnemingen en protocolversie.</x:v>
      </x:c>
      <x:c r="I41" s="47" t="str">
        <x:v>Herhaalde bezoeken binnen één seizoen vormen geen meerjarige trend; nulresultaat is geen absolute afwezigheid.</x:v>
      </x:c>
      <x:c r="J41" s="49" t="str">
        <x:v>44</x:v>
      </x:c>
      <x:c r="K41" s="49" t="str">
        <x:v>https://ndff.nl/natuurdata/waarnemen-en-aanleveren/protocollen/17-506-vleermuisprotocol-2021/</x:v>
      </x:c>
    </x:row>
    <x:row r="42" ht="105" customHeight="1">
      <x:c r="A42" s="38" t="str">
        <x:v>Geen code</x:v>
      </x:c>
      <x:c r="B42" s="39" t="str">
        <x:v>Losse waarnemingen</x:v>
      </x:c>
      <x:c r="C42" s="39" t="str">
        <x:v>Beide leveringen</x:v>
      </x:c>
      <x:c r="D42" s="54" t="str">
        <x:v>V</x:v>
      </x:c>
      <x:c r="E42" s="39" t="str">
        <x:v>TV bij geschikte datacompletering en gevalideerde bezettingsanalyse</x:v>
      </x:c>
      <x:c r="F42" s="39" t="str">
        <x:v>Voorkomensbewijs, verspreidingskaarten, nieuwe vestigingen en gerichte signalering.</x:v>
      </x:c>
      <x:c r="G42" s="39" t="str">
        <x:v>Validatie en biasbewuste analyse; eventueel bezoek-/lijstgeschiedenissen reconstrueren.</x:v>
      </x:c>
      <x:c r="H42" s="39" t="str">
        <x:v>Soort, plaats, tijd, bewijs, waarnemer-ID en beschikbare inspannings-/bezoekinformatie.</x:v>
      </x:c>
      <x:c r="I42" s="39" t="str">
        <x:v>Aantallen meldingen of ingevoerde individuen niet als populatietrend presenteren.</x:v>
      </x:c>
      <x:c r="J42" s="41" t="str">
        <x:v>66, 71</x:v>
      </x:c>
      <x:c r="K42" s="41" t="str">
        <x:v>https://ndff.nl/natuurdata/waarnemen-en-aanleveren/protocollen/
https://besjournals.onlinelibrary.wiley.com/doi/full/10.1111/1365-2664.12158</x:v>
      </x:c>
    </x:row>
    <x:row r="43" ht="105" customHeight="1">
      <x:c r="A43" s="46" t="str">
        <x:v>02.203</x:v>
      </x:c>
      <x:c r="B43" s="47" t="str">
        <x:v>Provinciale epifytenmeetnetten korstmossen</x:v>
      </x:c>
      <x:c r="C43" s="47" t="str">
        <x:v>Alleen openbaar</x:v>
      </x:c>
      <x:c r="D43" s="54" t="str">
        <x:v>TK</x:v>
      </x:c>
      <x:c r="E43" s="47" t="str">
        <x:v>TV / verandering in abundantieklassen</x:v>
      </x:c>
      <x:c r="F43" s="47" t="str">
        <x:v>Verandering in samenstelling en abundantie van epifyten op onderzochte boomgroepen.</x:v>
      </x:c>
      <x:c r="G43" s="47" t="str">
        <x:v>Herhaalde boom-/locatieanalyse met consistente soorten- en indicatorscores.</x:v>
      </x:c>
      <x:c r="H43" s="47" t="str">
        <x:v>Boom-/locatie-ID, boomsoort, substraat, meetronde, tijd en abundantieklasse.</x:v>
      </x:c>
      <x:c r="I43" s="47" t="str">
        <x:v>Boomvervanging en veranderde boomkenmerken scheiden van ecologische verandering; geen directe depositiemeting.</x:v>
      </x:c>
      <x:c r="J43" s="49" t="str">
        <x:v>45</x:v>
      </x:c>
      <x:c r="K43" s="49" t="str">
        <x:v>https://ndff.nl/natuurdata/waarnemen-en-aanleveren/protocollen/2-203-provinciale-epifytenmeetnet-mossen-en-korstmossen-2/</x:v>
      </x:c>
    </x:row>
    <x:row r="44" ht="105" customHeight="1">
      <x:c r="A44" s="38" t="str">
        <x:v>03.003</x:v>
      </x:c>
      <x:c r="B44" s="39" t="str">
        <x:v>Tuinvlindertelling</x:v>
      </x:c>
      <x:c r="C44" s="39" t="str">
        <x:v>Alleen openbaar</x:v>
      </x:c>
      <x:c r="D44" s="54" t="str">
        <x:v>I</x:v>
      </x:c>
      <x:c r="E44" s="39" t="str">
        <x:v>TV / TA bij vergelijkbare herhaalde tuintellingen</x:v>
      </x:c>
      <x:c r="F44" s="39" t="str">
        <x:v>Voorkomen en getelde vlinders in deelnemende tuinen tijdens de telling.</x:v>
      </x:c>
      <x:c r="G44" s="39" t="str">
        <x:v>Herhaalde-tuinanalyse met inspanning, datum/weer en deelnemersselectie.</x:v>
      </x:c>
      <x:c r="H44" s="39" t="str">
        <x:v>Tuin-ID, telwijze, duur, periode en volledige soortenlijst.</x:v>
      </x:c>
      <x:c r="I44" s="39" t="str">
        <x:v>Campagnetotalen zijn afhankelijk van deelnemers en omstandigheden; geen ruwe landelijke populatietrend.</x:v>
      </x:c>
      <x:c r="J44" s="41" t="str">
        <x:v>46</x:v>
      </x:c>
      <x:c r="K44" s="41" t="str">
        <x:v>https://ndff.nl/natuurdata/waarnemen-en-aanleveren/protocollen/3-003-protocol-waarnemingen-tuinvlindertelling/</x:v>
      </x:c>
    </x:row>
    <x:row r="45" ht="105" customHeight="1">
      <x:c r="A45" s="46" t="str">
        <x:v>03.203</x:v>
      </x:c>
      <x:c r="B45" s="47" t="str">
        <x:v>Landelijk Meetprogramma Nachtvlinders (NEM)</x:v>
      </x:c>
      <x:c r="C45" s="47" t="str">
        <x:v>Alleen openbaar</x:v>
      </x:c>
      <x:c r="D45" s="54" t="str">
        <x:v>TA</x:v>
      </x:c>
      <x:c r="E45" s="47" t="str">
        <x:v>Gestandaardiseerde vangstindex</x:v>
      </x:c>
      <x:c r="F45" s="47" t="str">
        <x:v>Verandering in aantallen gevangen nachtvlinders bij vaste meetpunten.</x:v>
      </x:c>
      <x:c r="G45" s="47" t="str">
        <x:v>Val-/nacht-/jaar-telmodel met seizoen en relevante weers- en methodevariabelen.</x:v>
      </x:c>
      <x:c r="H45" s="47" t="str">
        <x:v>Val-ID, lamp/valtype, bedrijfsduur, locatie, lege vangstnachten en gevolgde soortgroepen.</x:v>
      </x:c>
      <x:c r="I45" s="47" t="str">
        <x:v>Vangsten zijn geen directe dichtheid; niet-geregistreerde optionele micro's zijn geen nulwaarnemingen.</x:v>
      </x:c>
      <x:c r="J45" s="49" t="str">
        <x:v>47</x:v>
      </x:c>
      <x:c r="K45" s="49" t="str">
        <x:v>https://ndff.nl/natuurdata/waarnemen-en-aanleveren/protocollen/3-203-landelijk-meetprogramma-nachtvlinders-nem/</x:v>
      </x:c>
    </x:row>
    <x:row r="46" ht="114" customHeight="1">
      <x:c r="A46" s="38" t="str">
        <x:v>07.001</x:v>
      </x:c>
      <x:c r="B46" s="39" t="str">
        <x:v>Verspreidingsonderzoek libellen</x:v>
      </x:c>
      <x:c r="C46" s="39" t="str">
        <x:v>Alleen openbaar</x:v>
      </x:c>
      <x:c r="D46" s="54" t="str">
        <x:v>V</x:v>
      </x:c>
      <x:c r="E46" s="39" t="str">
        <x:v>I met originele inventarisaties; TV met gevalideerd model</x:v>
      </x:c>
      <x:c r="F46" s="39" t="str">
        <x:v>Verspreidingskaarten en historische/actuele vindplaatsen van libellen.</x:v>
      </x:c>
      <x:c r="G46" s="39" t="str">
        <x:v>Bezettingsanalyse na reconstructie van bezoeken, lijsten, inspanning en detectie.</x:v>
      </x:c>
      <x:c r="H46" s="39" t="str">
        <x:v>Waarnemingsdatum, locatie, waarnemer en indien beschikbaar complete bezoeklijsten.</x:v>
      </x:c>
      <x:c r="I46" s="39" t="str">
        <x:v>Metadata beschrijven positieve waarnemingen zonder nullen; geen directe aantalstrend.</x:v>
      </x:c>
      <x:c r="J46" s="41" t="str">
        <x:v>48, 72, 71</x:v>
      </x:c>
      <x:c r="K46" s="41" t="str">
        <x:v>https://ndff.nl/natuurdata/waarnemen-en-aanleveren/protocollen/7-001-verspreidingsonderzoek-libellen/
https://www.gbif.org/dataset/9296b0fc-7ea4-46de-b951-6dea892acd41
https://besjournals.onlinelibrary.wiley.com/doi/full/10.1111/1365-2664.12158</x:v>
      </x:c>
    </x:row>
    <x:row r="47" ht="105" customHeight="1">
      <x:c r="A47" s="46" t="str">
        <x:v>07.201</x:v>
      </x:c>
      <x:c r="B47" s="47" t="str">
        <x:v>Landelijk Meetnet Libellen (NEM)</x:v>
      </x:c>
      <x:c r="C47" s="47" t="str">
        <x:v>Alleen openbaar</x:v>
      </x:c>
      <x:c r="D47" s="54" t="str">
        <x:v>TA</x:v>
      </x:c>
      <x:c r="E47" s="47" t="str">
        <x:v>TV met passende aanvullende analyse</x:v>
      </x:c>
      <x:c r="F47" s="47" t="str">
        <x:v>Relatieve aantalstrends op vaste routes; aparte maat bij larvenhuidjestellingen.</x:v>
      </x:c>
      <x:c r="G47" s="47" t="str">
        <x:v>Route-/seizoensanalyse; volwassen dieren en larvenhuidjes als verschillende meeteenheden behandelen.</x:v>
      </x:c>
      <x:c r="H47" s="47" t="str">
        <x:v>Route, telstrook, bezoek, nulresultaten, weer, soortgerichte timing en methode.</x:v>
      </x:c>
      <x:c r="I47" s="47" t="str">
        <x:v>Geen homogene vergelijking tussen afwijkende deelmethoden; geen absolute dichtheid zonder onderbouwing.</x:v>
      </x:c>
      <x:c r="J47" s="49" t="str">
        <x:v>49</x:v>
      </x:c>
      <x:c r="K47" s="49" t="str">
        <x:v>https://vlinderstichting.nl/wat-kan-jij-doen/tellen/meetnetten/meetnet-libellen/</x:v>
      </x:c>
    </x:row>
    <x:row r="48" ht="105" customHeight="1">
      <x:c r="A48" s="38" t="str">
        <x:v>10.201</x:v>
      </x:c>
      <x:c r="B48" s="39" t="str">
        <x:v>Monitoring van reptielen in Nederland (NEM)</x:v>
      </x:c>
      <x:c r="C48" s="39" t="str">
        <x:v>Alleen openbaar</x:v>
      </x:c>
      <x:c r="D48" s="54" t="str">
        <x:v>TA</x:v>
      </x:c>
      <x:c r="E48" s="39" t="str"/>
      <x:c r="F48" s="39" t="str">
        <x:v>Relatieve aantalstrends van reptielen op herhaald getelde trajecten.</x:v>
      </x:c>
      <x:c r="G48" s="39" t="str">
        <x:v>Tel-/indexmodel met locatie, jaar, seizoen en waar beschikbaar telomstandigheden.</x:v>
      </x:c>
      <x:c r="H48" s="39" t="str">
        <x:v>Vast traject, bezoek, inspanning, weer, zoekmethode en nulresultaten.</x:v>
      </x:c>
      <x:c r="I48" s="39" t="str">
        <x:v>Veranderde zichtbaarheid en zoekmethode kunnen de index veranderen; geen automatische absolute dichtheid.</x:v>
      </x:c>
      <x:c r="J48" s="41" t="str">
        <x:v>50, 51</x:v>
      </x:c>
      <x:c r="K48" s="41" t="str">
        <x:v>https://www.ravon.nl/reptielen/
https://www.ravon.nl/publicaties/handleiding-invoerapp-meetprogramma-reptielen/</x:v>
      </x:c>
    </x:row>
    <x:row r="49" ht="105" customHeight="1">
      <x:c r="A49" s="46" t="str">
        <x:v>102.004</x:v>
      </x:c>
      <x:c r="B49" s="47" t="str">
        <x:v>iNaturalist</x:v>
      </x:c>
      <x:c r="C49" s="47" t="str">
        <x:v>Alleen openbaar</x:v>
      </x:c>
      <x:c r="D49" s="54" t="str">
        <x:v>V</x:v>
      </x:c>
      <x:c r="E49" s="47" t="str">
        <x:v>TV na passende datacompletering en modelvalidatie</x:v>
      </x:c>
      <x:c r="F49" s="47" t="str">
        <x:v>Gevalideerd voorkomensbewijs en verspreidingsanalyse op passende taxonomische/ruimtelijke schaal.</x:v>
      </x:c>
      <x:c r="G49" s="47" t="str">
        <x:v>Controle op determinatie, locatieprecisie en sampling bias.</x:v>
      </x:c>
      <x:c r="H49" s="47" t="str">
        <x:v>Bewijs, validatiestatus, taxonomisch niveau, coördinatenonzekerheid en bron-ID.</x:v>
      </x:c>
      <x:c r="I49" s="47" t="str">
        <x:v>Platformstatus bewijst geen steekproefkwaliteit; publicatie- of uploadactiviteit is geen trend.</x:v>
      </x:c>
      <x:c r="J49" s="49" t="str">
        <x:v>52, 71</x:v>
      </x:c>
      <x:c r="K49" s="49" t="str">
        <x:v>https://ndff.nl/natuurdata/waarnemen-en-aanleveren/protocollen/102-004-inaturalist/
https://besjournals.onlinelibrary.wiley.com/doi/full/10.1111/1365-2664.12158</x:v>
      </x:c>
    </x:row>
    <x:row r="50" ht="105" customHeight="1">
      <x:c r="A50" s="38" t="str">
        <x:v>102.005</x:v>
      </x:c>
      <x:c r="B50" s="39" t="str">
        <x:v>LiveAtlas</x:v>
      </x:c>
      <x:c r="C50" s="39" t="str">
        <x:v>Alleen openbaar</x:v>
      </x:c>
      <x:c r="D50" s="54" t="str">
        <x:v>I</x:v>
      </x:c>
      <x:c r="E50" s="39" t="str">
        <x:v>TV / TA met volledige geschikte bezoekgegevens</x:v>
      </x:c>
      <x:c r="F50" s="39" t="str">
        <x:v>Soortenlijsten, seizoenpatronen en telresultaten van gedocumenteerde bezoeken.</x:v>
      </x:c>
      <x:c r="G50" s="39" t="str">
        <x:v>Bezoekmodel met duur, route, waarnemer en volledigheid per soortgroep.</x:v>
      </x:c>
      <x:c r="H50" s="39" t="str">
        <x:v>Route, tijdsduur, datum, waarnemer, complete-lijststatus per taxongroep en aantallen.</x:v>
      </x:c>
      <x:c r="I50" s="39" t="str">
        <x:v>Niet elke lijst is volledig; niet-genoteerde soorten alleen als niet-detectie gebruiken waar verantwoord.</x:v>
      </x:c>
      <x:c r="J50" s="41" t="str">
        <x:v>53</x:v>
      </x:c>
      <x:c r="K50" s="41" t="str">
        <x:v>https://ndff.nl/natuurdata/waarnemen-en-aanleveren/protocollen/102-005-liveatlas/</x:v>
      </x:c>
    </x:row>
    <x:row r="51" ht="105" customHeight="1">
      <x:c r="A51" s="46" t="str">
        <x:v>102.007</x:v>
      </x:c>
      <x:c r="B51" s="47" t="str">
        <x:v>Kwartiertellingen</x:v>
      </x:c>
      <x:c r="C51" s="47" t="str">
        <x:v>Alleen openbaar</x:v>
      </x:c>
      <x:c r="D51" s="54" t="str">
        <x:v>I</x:v>
      </x:c>
      <x:c r="E51" s="47" t="str">
        <x:v>TV / TA met originele route- en bezoekgegevens</x:v>
      </x:c>
      <x:c r="F51" s="47" t="str">
        <x:v>Soortenlijsten en gestandaardiseerde of inspanning-gecorrigeerde telresultaten.</x:v>
      </x:c>
      <x:c r="G51" s="47" t="str">
        <x:v>Bezoek-/routemodel met werkelijke duur, doelsoort/-groep, afstand en detectie.</x:v>
      </x:c>
      <x:c r="H51" s="47" t="str">
        <x:v>Originele route, werkelijke tijdsduur, doelsoorten, volledigheid en tellingen.</x:v>
      </x:c>
      <x:c r="I51" s="47" t="str">
        <x:v>NDFF neemt de punten zonder routegegevens over; de naam bewijst niet altijd exact 15 minuten of een volledige lijst.</x:v>
      </x:c>
      <x:c r="J51" s="49" t="str">
        <x:v>54</x:v>
      </x:c>
      <x:c r="K51" s="49" t="str">
        <x:v>https://ndff.nl/natuurdata/waarnemen-en-aanleveren/protocollen/102-007-kwartiertellingen-dagvlinders-nachtvlinders-libellen-en-sprinkhanen/</x:v>
      </x:c>
    </x:row>
    <x:row r="52" ht="105" customHeight="1">
      <x:c r="A52" s="38" t="str">
        <x:v>11.204</x:v>
      </x:c>
      <x:c r="B52" s="39" t="str">
        <x:v>Verspreidingsonderzoek bospaddenstoelen (NEM)</x:v>
      </x:c>
      <x:c r="C52" s="39" t="str">
        <x:v>Alleen openbaar</x:v>
      </x:c>
      <x:c r="D52" s="54" t="str">
        <x:v>TV</x:v>
      </x:c>
      <x:c r="E52" s="39" t="str"/>
      <x:c r="F52" s="39" t="str">
        <x:v>Verspreidings- en bezettingstrends van bospaddenstoelen.</x:v>
      </x:c>
      <x:c r="G52" s="39" t="str">
        <x:v>Bezettingsmodel met hok, bezoeklijst, detectie en onderzoeksinspanning.</x:v>
      </x:c>
      <x:c r="H52" s="39" t="str">
        <x:v>Kilometerhok, herbezoeken, volledige doelsoortenlijst en datum.</x:v>
      </x:c>
      <x:c r="I52" s="39" t="str">
        <x:v>Geen aantalstrend in vruchtlichamen; methodebreuk ten opzichte van 11.201 behouden.</x:v>
      </x:c>
      <x:c r="J52" s="41" t="str">
        <x:v>55, 22</x:v>
      </x:c>
      <x:c r="K52" s="41" t="str">
        <x:v>https://www.mycologen.nl/onderzoek/meetnet/bospaddenstoelen/
https://www.cbs.nl/nl-nl/onze-diensten/methoden/onderzoeksomschrijvingen/korte-onderzoeksomschrijvingen/paddenstoelenstatistiek</x:v>
      </x:c>
    </x:row>
    <x:row r="53" ht="105" customHeight="1">
      <x:c r="A53" s="46" t="str">
        <x:v>12.011</x:v>
      </x:c>
      <x:c r="B53" s="47" t="str">
        <x:v>Daglijsten Kranswieren</x:v>
      </x:c>
      <x:c r="C53" s="47" t="str">
        <x:v>Alleen openbaar</x:v>
      </x:c>
      <x:c r="D53" s="54" t="str">
        <x:v>V</x:v>
      </x:c>
      <x:c r="E53" s="47" t="str">
        <x:v>I / TV bij beschikbaarheid van originele complete inventarisaties</x:v>
      </x:c>
      <x:c r="F53" s="47" t="str">
        <x:v>Gecontroleerde vindplaatsen en verspreiding van kranswieren.</x:v>
      </x:c>
      <x:c r="G53" s="47" t="str">
        <x:v>Voorkomensanalyse met specimencontrole; inventarisatiecontext eerst reconstrueren.</x:v>
      </x:c>
      <x:c r="H53" s="47" t="str">
        <x:v>Monster-/bezoekgegevens, herbariummateriaal waar vereist, locatie en datum.</x:v>
      </x:c>
      <x:c r="I53" s="47" t="str">
        <x:v>De gepubliceerde datasetmetadata melden positieve vondsten zonder nullen; 'daglijst' garandeert geen volledigheid.</x:v>
      </x:c>
      <x:c r="J53" s="49" t="str">
        <x:v>56</x:v>
      </x:c>
      <x:c r="K53" s="49" t="str">
        <x:v>https://www.gbif.org/dataset/709e4b81-35aa-4c95-956f-c2676a53f7f7</x:v>
      </x:c>
    </x:row>
    <x:row r="54" ht="105" customHeight="1">
      <x:c r="A54" s="38" t="str">
        <x:v>12.209</x:v>
      </x:c>
      <x:c r="B54" s="39" t="str">
        <x:v>Nectarindex FLORON</x:v>
      </x:c>
      <x:c r="C54" s="39" t="str">
        <x:v>Alleen openbaar</x:v>
      </x:c>
      <x:c r="D54" s="54" t="str">
        <x:v>I</x:v>
      </x:c>
      <x:c r="E54" s="39" t="str">
        <x:v>TK bij vergelijkbare herhaalde opnamen</x:v>
      </x:c>
      <x:c r="F54" s="39" t="str">
        <x:v>Floristische toestand en op plantensoorten gebaseerd potentieel nectar-/bloemaanbod.</x:v>
      </x:c>
      <x:c r="G54" s="39" t="str">
        <x:v>Vergelijk de oorspronkelijke plantenopname en index op hetzelfde traject met dezelfde methode.</x:v>
      </x:c>
      <x:c r="H54" s="39" t="str">
        <x:v>Traject, stoplocaties, plantgegevens, telperiode en methode-/indexversie.</x:v>
      </x:c>
      <x:c r="I54" s="39" t="str">
        <x:v>Geen meting van werkelijk nectarvolume, insectenaantallen of aangetoond beheer-effect.</x:v>
      </x:c>
      <x:c r="J54" s="41" t="str">
        <x:v>57</x:v>
      </x:c>
      <x:c r="K54" s="41" t="str">
        <x:v>https://www.floron.nl/nectarindex</x:v>
      </x:c>
    </x:row>
    <x:row r="55" ht="105" customHeight="1">
      <x:c r="A55" s="46" t="str">
        <x:v>13.201</x:v>
      </x:c>
      <x:c r="B55" s="47" t="str">
        <x:v>Beek- en poldervissen (NEM)</x:v>
      </x:c>
      <x:c r="C55" s="47" t="str">
        <x:v>Alleen openbaar</x:v>
      </x:c>
      <x:c r="D55" s="54" t="str">
        <x:v>TV</x:v>
      </x:c>
      <x:c r="E55" s="47" t="str">
        <x:v>Voorwaardelijk: deelprotocol en gegevensherkomst controleren</x:v>
      </x:c>
      <x:c r="F55" s="47" t="str">
        <x:v>Verspreidingsverandering van onderzochte vissoorten voor geschikte historische meetreeksen.</x:v>
      </x:c>
      <x:c r="G55" s="47" t="str">
        <x:v>Bezettingsanalyse per soort en deelmethode na controle van protocolkoppeling.</x:v>
      </x:c>
      <x:c r="H55" s="47" t="str">
        <x:v>Monsterpunt, vangmethode, inspanning, herbezoeken, niet-detecties en methodeversie.</x:v>
      </x:c>
      <x:c r="I55" s="47" t="str">
        <x:v>NDFF-paginatitel en methodetekst sluiten niet eenduidig aan. Uniforme codebrede methode: dit kan ik niet verifiëren.</x:v>
      </x:c>
      <x:c r="J55" s="49" t="str">
        <x:v>58, 59</x:v>
      </x:c>
      <x:c r="K55" s="49" t="str">
        <x:v>https://ndff.nl/natuurdata/waarnemen-en-aanleveren/protocollen/13-201-meetnet-beek-en-poldervissen-nem-3/
https://www.clo.nl/indicatoren/nl155204-beek-en-poldervissen-van-de-habitatrichtlijn-1990-2023</x:v>
      </x:c>
    </x:row>
    <x:row r="56" ht="105" customHeight="1">
      <x:c r="A56" s="38" t="str">
        <x:v>17.201</x:v>
      </x:c>
      <x:c r="B56" s="39" t="str">
        <x:v>Monitoren van vleermuizen in de winter</x:v>
      </x:c>
      <x:c r="C56" s="39" t="str">
        <x:v>Alleen openbaar</x:v>
      </x:c>
      <x:c r="D56" s="54" t="str">
        <x:v>TA</x:v>
      </x:c>
      <x:c r="E56" s="39" t="str"/>
      <x:c r="F56" s="39" t="str">
        <x:v>Verandering in getelde overwinteraars in de onderzochte winterverblijven.</x:v>
      </x:c>
      <x:c r="G56" s="39" t="str">
        <x:v>Herhaalde object-/soort-telreeks met controle op object- en telwijzigingen.</x:v>
      </x:c>
      <x:c r="H56" s="39" t="str">
        <x:v>Object-ID, bezochte ruimten, datum, telmethode, volledigheid en verbouwingen.</x:v>
      </x:c>
      <x:c r="I56" s="39" t="str">
        <x:v>Alleen onderzochte/toegankelijke verblijven; veranderde verblijfkeuze kan aantallen per object beïnvloeden.</x:v>
      </x:c>
      <x:c r="J56" s="41" t="str">
        <x:v>60</x:v>
      </x:c>
      <x:c r="K56" s="41" t="str">
        <x:v>https://ndff.nl/natuurdata/waarnemen-en-aanleveren/protocollen/17-201-monitoren-van-vleermuizen-in-de-winter-nem/</x:v>
      </x:c>
    </x:row>
    <x:row r="57" ht="105" customHeight="1">
      <x:c r="A57" s="46" t="str">
        <x:v>17.202</x:v>
      </x:c>
      <x:c r="B57" s="47" t="str">
        <x:v>Monitoren van vleermuizen op zolder</x:v>
      </x:c>
      <x:c r="C57" s="47" t="str">
        <x:v>Alleen openbaar</x:v>
      </x:c>
      <x:c r="D57" s="54" t="str">
        <x:v>TA</x:v>
      </x:c>
      <x:c r="E57" s="47" t="str">
        <x:v>Voor telbare doelsoorten; overige informatie minimaal V / I</x:v>
      </x:c>
      <x:c r="F57" s="47" t="str">
        <x:v>Verandering in aantallen van doelsoorten op onderzochte zolders/verblijfplaatsen.</x:v>
      </x:c>
      <x:c r="G57" s="47" t="str">
        <x:v>Herhaalde zolder-/soort-telreeks met object- en jaarcomponenten.</x:v>
      </x:c>
      <x:c r="H57" s="47" t="str">
        <x:v>Zolder-ID, bezoekdatum, zichtbaarheid, methode, soort en volledigheid.</x:v>
      </x:c>
      <x:c r="I57" s="47" t="str">
        <x:v>Geen automatische trend voor alle soorten of alle vleermuizen in de omgeving.</x:v>
      </x:c>
      <x:c r="J57" s="49" t="str">
        <x:v>61</x:v>
      </x:c>
      <x:c r="K57" s="49" t="str">
        <x:v>https://ndff.nl/natuurdata/waarnemen-en-aanleveren/protocollen/17-202-monitoren-van-vleermuizen-op-zolders-nem/</x:v>
      </x:c>
    </x:row>
    <x:row r="58" ht="105" customHeight="1">
      <x:c r="A58" s="38" t="str">
        <x:v>17.207</x:v>
      </x:c>
      <x:c r="B58" s="39" t="str">
        <x:v>Verspreidingsonderzoek Bever en Otter (NEM)</x:v>
      </x:c>
      <x:c r="C58" s="39" t="str">
        <x:v>Alleen openbaar</x:v>
      </x:c>
      <x:c r="D58" s="54" t="str">
        <x:v>TV</x:v>
      </x:c>
      <x:c r="E58" s="39" t="str">
        <x:v>Otter: TV; bever: voorlopig V / I, trend opgeschort</x:v>
      </x:c>
      <x:c r="F58" s="39" t="str">
        <x:v>Voorkomen van beide soorten; verspreidingsverandering van otter bij geschikte gegevens.</x:v>
      </x:c>
      <x:c r="G58" s="39" t="str">
        <x:v>Bezettings-/verspreidingsanalyse per soort; bever pas na herstel en validatie van de datakwaliteit.</x:v>
      </x:c>
      <x:c r="H58" s="39" t="str">
        <x:v>Onderzochte kilometerhokken, inspanning, sporenmethode, niet-detecties en verificatie.</x:v>
      </x:c>
      <x:c r="I58" s="39" t="str">
        <x:v>CBS 2025-rapportage schort bevertrend op wegens datakwaliteit; bezette hokken zijn geen aantallen dieren.</x:v>
      </x:c>
      <x:c r="J58" s="41" t="str">
        <x:v>62, 14</x:v>
      </x:c>
      <x:c r="K58" s="41" t="str">
        <x:v>https://ndff.nl/natuurdata/waarnemen-en-aanleveren/protocollen/17-207-verspreidingsonderzoek-bever-en-otter-nem/
https://longreads.cbs.nl/meetprogrammas-flora-en-fauna-2025/meetprogrammas/</x:v>
      </x:c>
    </x:row>
    <x:row r="59" ht="105" customHeight="1">
      <x:c r="A59" s="46" t="str">
        <x:v>17.505</x:v>
      </x:c>
      <x:c r="B59" s="47" t="str">
        <x:v>Vleermuisprotocol 2017</x:v>
      </x:c>
      <x:c r="C59" s="47" t="str">
        <x:v>Alleen openbaar</x:v>
      </x:c>
      <x:c r="D59" s="54" t="str">
        <x:v>I</x:v>
      </x:c>
      <x:c r="E59" s="47" t="str">
        <x:v>TV / TA alleen bij aanvullend vergelijkbaar meerjarig ontwerp</x:v>
      </x:c>
      <x:c r="F59" s="47" t="str">
        <x:v>Historische inventarisatie van aanwezigheid, verblijfplaatsen en gebiedsfuncties.</x:v>
      </x:c>
      <x:c r="G59" s="47" t="str">
        <x:v>Integreer seizoensbezoeken tot functies; harmoniseer methoden bij latere vergelijking.</x:v>
      </x:c>
      <x:c r="H59" s="47" t="str">
        <x:v>Soort/functie, bezoekdatums, telduur, omstandigheden en gebruikte protocolversie.</x:v>
      </x:c>
      <x:c r="I59" s="47" t="str">
        <x:v>Binnen-seizoenherhaling is geen trend; versies 2017 en 2021 niet ongemotiveerd gelijkstellen.</x:v>
      </x:c>
      <x:c r="J59" s="49" t="str">
        <x:v>63, 44</x:v>
      </x:c>
      <x:c r="K59" s="49" t="str">
        <x:v>https://ndff.nl/natuurdata/waarnemen-en-aanleveren/protocollen/17-505-vleermuisprotocol-2017/
https://ndff.nl/natuurdata/waarnemen-en-aanleveren/protocollen/17-506-vleermuisprotocol-2021/</x:v>
      </x:c>
    </x:row>
  </x:sheetData>
  <x:mergeCells>
    <x:mergeCell ref="A1:K1"/>
    <x:mergeCell ref="A2:K2"/>
    <x:mergeCell ref="A3:K3"/>
  </x:mergeCells>
  <x:pageMargins left="0.7" right="0.7" top="0.75" bottom="0.75" header="0.3" footer="0.3"/>
  <x:tableParts count="1">
    <x:tablePart xmlns:r="http://schemas.openxmlformats.org/officeDocument/2006/relationships" r:id="R198c5d65f1a940f0"/>
  </x:tableParts>
</x:worksheet>
</file>

<file path=xl/worksheets/sheet3.xml><?xml version="1.0" encoding="utf-8"?>
<x:worksheet xmlns:x="http://schemas.openxmlformats.org/spreadsheetml/2006/main">
  <x:sheetFormatPr defaultRowHeight="15"/>
  <x:cols>
    <x:col min="1" max="1" width="9" hidden="0" customWidth="1"/>
    <x:col min="2" max="2" width="40" hidden="0" customWidth="1"/>
    <x:col min="3" max="3" width="40" hidden="0" customWidth="1"/>
    <x:col min="4" max="4" width="18" hidden="0" customWidth="1"/>
  </x:cols>
  <x:sheetData>
    <x:row r="1" ht="30" customHeight="1">
      <x:c r="A1" s="3" t="str">
        <x:v>Bronnen bij de gebruiksmatrix</x:v>
      </x:c>
      <x:c r="B1" s="3"/>
      <x:c r="C1" s="3"/>
      <x:c r="D1" s="3"/>
    </x:row>
    <x:row r="2" ht="42" customHeight="1">
      <x:c r="A2" s="6" t="str">
        <x:v>Bronnummers verwijzen naar de oorspronkelijke bibliografie plus aanvullingen. De indeling en gebruiksvoorwaarden zijn een analytische beoordeling op basis van deze bronnen.</x:v>
      </x:c>
      <x:c r="B2" s="6"/>
      <x:c r="C2" s="6"/>
      <x:c r="D2" s="6"/>
    </x:row>
    <x:row r="4" ht="32" customHeight="1">
      <x:c r="A4" s="12" t="str">
        <x:v>Nr.</x:v>
      </x:c>
      <x:c r="B4" s="12" t="str">
        <x:v>Volledige bronvermelding</x:v>
      </x:c>
      <x:c r="C4" s="12" t="str">
        <x:v>URL</x:v>
      </x:c>
      <x:c r="D4" s="12" t="str">
        <x:v>Controle / beoordeling</x:v>
      </x:c>
    </x:row>
    <x:row r="5" ht="93" customHeight="1">
      <x:c r="A5" s="16" t="n">
        <x:v>8</x:v>
      </x:c>
      <x:c r="B5" s="16" t="str">
        <x:v>NDFF (z.d.). 02.202 Korstmossen op steen, heiden en stuifzanden (NEM)</x:v>
      </x:c>
      <x:c r="C5" s="16" t="str">
        <x:v>https://ndff.nl/natuurdata/waarnemen-en-aanleveren/protocollen/2-202-korstmossen-op-steen-heiden-en-stuifzanden-nem/</x:v>
      </x:c>
      <x:c r="D5" s="16" t="str">
        <x:v>11-09-2026</x:v>
      </x:c>
    </x:row>
    <x:row r="6" ht="93" customHeight="1">
      <x:c r="A6" s="16" t="n">
        <x:v>9</x:v>
      </x:c>
      <x:c r="B6" s="16" t="str">
        <x:v>BLWG (z.d.). Onderzoek: Meetnet Mossen Relevante passage: Veldonderzoek en monitoring / Meetnet Mossen.</x:v>
      </x:c>
      <x:c r="C6" s="16" t="str">
        <x:v>https://www.blwg.nl/onderzoek</x:v>
      </x:c>
      <x:c r="D6" s="16" t="str">
        <x:v>11-09-2026</x:v>
      </x:c>
    </x:row>
    <x:row r="7" ht="93" customHeight="1">
      <x:c r="A7" s="16" t="n">
        <x:v>10</x:v>
      </x:c>
      <x:c r="B7" s="16" t="str">
        <x:v>NDFF (z.d.). 03.001 Gebiedsgerichte inventarisaties dagvlinders</x:v>
      </x:c>
      <x:c r="C7" s="16" t="str">
        <x:v>https://ndff.nl/natuurdata/waarnemen-en-aanleveren/protocollen/3-001-gebiedsgerichte-inventarisaties-dagvlinders/</x:v>
      </x:c>
      <x:c r="D7" s="16" t="str">
        <x:v>11-09-2026</x:v>
      </x:c>
    </x:row>
    <x:row r="8" ht="93" customHeight="1">
      <x:c r="A8" s="16" t="n">
        <x:v>11</x:v>
      </x:c>
      <x:c r="B8" s="16" t="str">
        <x:v>NDFF (z.d.). 03.201 Landelijk Meetnet Vlinders (NEM)</x:v>
      </x:c>
      <x:c r="C8" s="16" t="str">
        <x:v>https://ndff.nl/natuurdata/waarnemen-en-aanleveren/protocollen/3-201-landelijk-meetnet-vlinders-nem/</x:v>
      </x:c>
      <x:c r="D8" s="16" t="str">
        <x:v>11-09-2026</x:v>
      </x:c>
    </x:row>
    <x:row r="9" ht="93" customHeight="1">
      <x:c r="A9" s="16" t="n">
        <x:v>12</x:v>
      </x:c>
      <x:c r="B9" s="16" t="str">
        <x:v>NDFF (z.d.). 04.004 Atlasproject Nederlandse Mollusken</x:v>
      </x:c>
      <x:c r="C9" s="16" t="str">
        <x:v>https://ndff.nl/natuurdata/waarnemen-en-aanleveren/protocollen/4-004-atlasproject-nederlandse-mollusken/</x:v>
      </x:c>
      <x:c r="D9" s="16" t="str">
        <x:v>11-09-2026</x:v>
      </x:c>
    </x:row>
    <x:row r="10" ht="93" customHeight="1">
      <x:c r="A10" s="16" t="n">
        <x:v>13</x:v>
      </x:c>
      <x:c r="B10" s="16" t="str">
        <x:v>Stichting ANEMOON (z.d.). HabSlak-protocollen</x:v>
      </x:c>
      <x:c r="C10" s="16" t="str">
        <x:v>https://www.anemoon.org/projecten/natura2000/habslak-protocollen</x:v>
      </x:c>
      <x:c r="D10" s="16" t="str">
        <x:v>11-09-2026</x:v>
      </x:c>
    </x:row>
    <x:row r="11" ht="93" customHeight="1">
      <x:c r="A11" s="16" t="n">
        <x:v>14</x:v>
      </x:c>
      <x:c r="B11" s="16" t="str">
        <x:v>CBS (2026). Meetprogramma’s voor flora en fauna 2025: Meetprogramma’s Relevante passage: § 7.2 (braakballen) en § 7.14 (weekdieren).</x:v>
      </x:c>
      <x:c r="C11" s="16" t="str">
        <x:v>https://longreads.cbs.nl/meetprogrammas-flora-en-fauna-2025/meetprogrammas/</x:v>
      </x:c>
      <x:c r="D11" s="16" t="str">
        <x:v>11-09-2026</x:v>
      </x:c>
    </x:row>
    <x:row r="12" ht="93" customHeight="1">
      <x:c r="A12" s="16" t="n">
        <x:v>15</x:v>
      </x:c>
      <x:c r="B12" s="16" t="str">
        <x:v>NDFF (z.d.). 10.002 Environmental DNA-onderzoek</x:v>
      </x:c>
      <x:c r="C12" s="16" t="str">
        <x:v>https://ndff.nl/natuurdata/waarnemen-en-aanleveren/protocollen/10-002-environmental-dna-onderzoek/</x:v>
      </x:c>
      <x:c r="D12" s="16" t="str">
        <x:v>11-09-2026</x:v>
      </x:c>
    </x:row>
    <x:row r="13" ht="93" customHeight="1">
      <x:c r="A13" s="16" t="n">
        <x:v>16</x:v>
      </x:c>
      <x:c r="B13" s="16" t="str">
        <x:v>Yates, M.C. (2025). A Framework to Unify the Relationship Between Numerical Abundance, Biomass, and Environmental DNA. Environmental DNA. DOI: 10.1002/edn3.70073</x:v>
      </x:c>
      <x:c r="C13" s="16" t="str">
        <x:v>https://onlinelibrary.wiley.com/doi/abs/10.1002/edn3.70073</x:v>
      </x:c>
      <x:c r="D13" s="16" t="str">
        <x:v>11-09-2026</x:v>
      </x:c>
    </x:row>
    <x:row r="14" ht="93" customHeight="1">
      <x:c r="A14" s="16" t="n">
        <x:v>17</x:v>
      </x:c>
      <x:c r="B14" s="16" t="str">
        <x:v>NDFF (z.d.). 102.002 Jaarrond Tuintelling</x:v>
      </x:c>
      <x:c r="C14" s="16" t="str">
        <x:v>https://ndff.nl/natuurdata/waarnemen-en-aanleveren/protocollen/102-002-jaarrond-tuintelling/</x:v>
      </x:c>
      <x:c r="D14" s="16" t="str">
        <x:v>11-09-2026</x:v>
      </x:c>
    </x:row>
    <x:row r="15" ht="93" customHeight="1">
      <x:c r="A15" s="16" t="n">
        <x:v>18</x:v>
      </x:c>
      <x:c r="B15" s="16" t="str">
        <x:v>NDFF (z.d.). 102.006 ObsIdentify</x:v>
      </x:c>
      <x:c r="C15" s="16" t="str">
        <x:v>https://ndff.nl/natuurdata/waarnemen-en-aanleveren/protocollen/102-006-obsidentify/</x:v>
      </x:c>
      <x:c r="D15" s="16" t="str">
        <x:v>11-09-2026</x:v>
      </x:c>
    </x:row>
    <x:row r="16" ht="93" customHeight="1">
      <x:c r="A16" s="16" t="n">
        <x:v>19</x:v>
      </x:c>
      <x:c r="B16" s="16" t="str">
        <x:v>NDFF (z.d.). 105.000 Waarnemingen uit collecties</x:v>
      </x:c>
      <x:c r="C16" s="16" t="str">
        <x:v>https://ndff.nl/natuurdata/waarnemen-en-aanleveren/protocollen/105-000-waarnemingen-uit-collecties/</x:v>
      </x:c>
      <x:c r="D16" s="16" t="str">
        <x:v>11-09-2026</x:v>
      </x:c>
    </x:row>
    <x:row r="17" ht="93" customHeight="1">
      <x:c r="A17" s="16" t="n">
        <x:v>20</x:v>
      </x:c>
      <x:c r="B17" s="16" t="str">
        <x:v>NDFF (z.d.). 11.201 Meetnet Bospaddenstoelen (NEM)</x:v>
      </x:c>
      <x:c r="C17" s="16" t="str">
        <x:v>https://ndff.nl/natuurdata/waarnemen-en-aanleveren/protocollen/11-201-meetnet-bospaddenstoelen-nem/</x:v>
      </x:c>
      <x:c r="D17" s="16" t="str">
        <x:v>11-09-2026</x:v>
      </x:c>
    </x:row>
    <x:row r="18" ht="93" customHeight="1">
      <x:c r="A18" s="16" t="n">
        <x:v>21</x:v>
      </x:c>
      <x:c r="B18" s="16" t="str">
        <x:v>NDFF (z.d.). 11.202 Zeereeppaddenstoelen</x:v>
      </x:c>
      <x:c r="C18" s="16" t="str">
        <x:v>https://ndff.nl/natuurdata/waarnemen-en-aanleveren/protocollen/11-202-zeereeppaddenstoelen/</x:v>
      </x:c>
      <x:c r="D18" s="16" t="str">
        <x:v>11-09-2026</x:v>
      </x:c>
    </x:row>
    <x:row r="19" ht="93" customHeight="1">
      <x:c r="A19" s="16" t="n">
        <x:v>22</x:v>
      </x:c>
      <x:c r="B19" s="16" t="str">
        <x:v>CBS (z.d.). Paddenstoelenstatistiek Relevante passage: Doel; Soort onderzoek; Volgtijdelijke vergelijkbaarheid.</x:v>
      </x:c>
      <x:c r="C19" s="16" t="str">
        <x:v>https://www.cbs.nl/nl-nl/onze-diensten/methoden/onderzoeksomschrijvingen/korte-onderzoeksomschrijvingen/paddenstoelenstatistiek</x:v>
      </x:c>
      <x:c r="D19" s="16" t="str">
        <x:v>11-09-2026</x:v>
      </x:c>
    </x:row>
    <x:row r="20" ht="93" customHeight="1">
      <x:c r="A20" s="16" t="n">
        <x:v>23</x:v>
      </x:c>
      <x:c r="B20" s="16" t="str">
        <x:v>NDFF (z.d.). 12.001 Totaalproject FLORON</x:v>
      </x:c>
      <x:c r="C20" s="16" t="str">
        <x:v>https://ndff.nl/natuurdata/waarnemen-en-aanleveren/protocollen/12-001-totaalproject-floron/</x:v>
      </x:c>
      <x:c r="D20" s="16" t="str">
        <x:v>11-09-2026</x:v>
      </x:c>
    </x:row>
    <x:row r="21" ht="93" customHeight="1">
      <x:c r="A21" s="16" t="n">
        <x:v>24</x:v>
      </x:c>
      <x:c r="B21" s="16" t="str">
        <x:v>NDFF (z.d.). 12.002 Bedreigde Soorten Project FLORON</x:v>
      </x:c>
      <x:c r="C21" s="16" t="str">
        <x:v>https://ndff.nl/natuurdata/waarnemen-en-aanleveren/protocollen/12-002-bedreigde-soorten-project-floron/</x:v>
      </x:c>
      <x:c r="D21" s="16" t="str">
        <x:v>11-09-2026</x:v>
      </x:c>
    </x:row>
    <x:row r="22" ht="93" customHeight="1">
      <x:c r="A22" s="16" t="n">
        <x:v>25</x:v>
      </x:c>
      <x:c r="B22" s="16" t="str">
        <x:v>NDFF (z.d.). 12.003 Rode Lijst Project FLORON</x:v>
      </x:c>
      <x:c r="C22" s="16" t="str">
        <x:v>https://ndff.nl/natuurdata/waarnemen-en-aanleveren/protocollen/12-003-rode-lijst-project-floron/</x:v>
      </x:c>
      <x:c r="D22" s="16" t="str">
        <x:v>11-09-2026</x:v>
      </x:c>
    </x:row>
    <x:row r="23" ht="93" customHeight="1">
      <x:c r="A23" s="16" t="n">
        <x:v>26</x:v>
      </x:c>
      <x:c r="B23" s="16" t="str">
        <x:v>NDFF (z.d.). 12.004 Atlasgegevens Atlas van de Nederlandse Flora (1980–1989)</x:v>
      </x:c>
      <x:c r="C23" s="16" t="str">
        <x:v>https://ndff.nl/natuurdata/waarnemen-en-aanleveren/protocollen/12-004-atlasgegevens-atlas-van-de-nederlandse-flora-1980-1989/</x:v>
      </x:c>
      <x:c r="D23" s="16" t="str">
        <x:v>11-09-2026</x:v>
      </x:c>
    </x:row>
    <x:row r="24" ht="93" customHeight="1">
      <x:c r="A24" s="16" t="n">
        <x:v>27</x:v>
      </x:c>
      <x:c r="B24" s="16" t="str">
        <x:v>NDFF (z.d.). 12.006 FLORBASE overige losse waarnemingen na 1993</x:v>
      </x:c>
      <x:c r="C24" s="16" t="str">
        <x:v>https://ndff.nl/natuurdata/waarnemen-en-aanleveren/protocollen/12-006-florabase-overige-losse-waarnemingen-na-1993/</x:v>
      </x:c>
      <x:c r="D24" s="16" t="str">
        <x:v>11-09-2026</x:v>
      </x:c>
    </x:row>
    <x:row r="25" ht="93" customHeight="1">
      <x:c r="A25" s="16" t="n">
        <x:v>28</x:v>
      </x:c>
      <x:c r="B25" s="16" t="str">
        <x:v>NDFF (z.d.). 12.007 Vegetatieopname</x:v>
      </x:c>
      <x:c r="C25" s="16" t="str">
        <x:v>https://ndff.nl/natuurdata/waarnemen-en-aanleveren/protocollen/12-007-vegetatieopname/</x:v>
      </x:c>
      <x:c r="D25" s="16" t="str">
        <x:v>11-09-2026</x:v>
      </x:c>
    </x:row>
    <x:row r="26" ht="93" customHeight="1">
      <x:c r="A26" s="16" t="n">
        <x:v>29</x:v>
      </x:c>
      <x:c r="B26" s="16" t="str">
        <x:v>Altenburg &amp; Wymenga (2020). Florakartering Terschelling Relevante passage: Voorbeeld van florakartering voor Staatsbosbeheer; geen bewijs voor alle records onder 12.015.</x:v>
      </x:c>
      <x:c r="C26" s="16" t="str">
        <x:v>https://www.altwym.nl/projecten/florakartering-terschelling/</x:v>
      </x:c>
      <x:c r="D26" s="16" t="str">
        <x:v>11-09-2026</x:v>
      </x:c>
    </x:row>
    <x:row r="27" ht="93" customHeight="1">
      <x:c r="A27" s="16" t="n">
        <x:v>30</x:v>
      </x:c>
      <x:c r="B27" s="16" t="str">
        <x:v>NDFF (z.d.). 12.202 Landelijk Meetnet Flora – Milieu- en Natuurkwaliteit</x:v>
      </x:c>
      <x:c r="C27" s="16" t="str">
        <x:v>https://ndff.nl/natuurdata/waarnemen-en-aanleveren/protocollen/12-202-landelijk-meetnet-flora-milieu-en-natuurkwaliteit/</x:v>
      </x:c>
      <x:c r="D27" s="16" t="str">
        <x:v>11-09-2026</x:v>
      </x:c>
    </x:row>
    <x:row r="28" ht="93" customHeight="1">
      <x:c r="A28" s="16" t="n">
        <x:v>31</x:v>
      </x:c>
      <x:c r="B28" s="16" t="str">
        <x:v>NDFF (z.d.). 12.204 Het Nieuwe Strepen FLORON (NEM)</x:v>
      </x:c>
      <x:c r="C28" s="16" t="str">
        <x:v>https://ndff.nl/natuurdata/waarnemen-en-aanleveren/protocollen/12-204-nieuwe-strepen-floron-nem/</x:v>
      </x:c>
      <x:c r="D28" s="16" t="str">
        <x:v>11-09-2026</x:v>
      </x:c>
    </x:row>
    <x:row r="29" ht="93" customHeight="1">
      <x:c r="A29" s="16" t="n">
        <x:v>32</x:v>
      </x:c>
      <x:c r="B29" s="16" t="str">
        <x:v>NDFF (z.d.). 12.205 Uniforme werkwijze monitoring natuurnetwerk (SNL)</x:v>
      </x:c>
      <x:c r="C29" s="16" t="str">
        <x:v>https://ndff.nl/natuurdata/waarnemen-en-aanleveren/protocollen/12-205-uniforme-werkwijze-monitoring-natuurnetwerk-snl/</x:v>
      </x:c>
      <x:c r="D29" s="16" t="str">
        <x:v>11-09-2026</x:v>
      </x:c>
    </x:row>
    <x:row r="30" ht="93" customHeight="1">
      <x:c r="A30" s="16" t="n">
        <x:v>33</x:v>
      </x:c>
      <x:c r="B30" s="16" t="str">
        <x:v>BIJ12 (pagina bijgewerkt 18 april 2025). Werkwijze monitoring en beoordeling Natuurnetwerk en Natura 2000</x:v>
      </x:c>
      <x:c r="C30" s="16" t="str">
        <x:v>https://www.bij12.nl/onderwerp/natuurinformatie/monitoring-en-natuurinformatie/werkwijze-monitoring-beoordeling-natuurnetwerk-natura-2000/</x:v>
      </x:c>
      <x:c r="D30" s="16" t="str">
        <x:v>11-09-2026</x:v>
      </x:c>
    </x:row>
    <x:row r="31" ht="93" customHeight="1">
      <x:c r="A31" s="16" t="n">
        <x:v>34</x:v>
      </x:c>
      <x:c r="B31" s="16" t="str">
        <x:v>NDFF (z.d.). 12.211 Landelijk Meetnet Flora-aandachtssoorten (LMF-A)</x:v>
      </x:c>
      <x:c r="C31" s="16" t="str">
        <x:v>https://ndff.nl/natuurdata/waarnemen-en-aanleveren/protocollen/12-211-landelijk-meetnet-flora-aandachtssoorten-lmf-a/</x:v>
      </x:c>
      <x:c r="D31" s="16" t="str">
        <x:v>11-09-2026</x:v>
      </x:c>
    </x:row>
    <x:row r="32" ht="93" customHeight="1">
      <x:c r="A32" s="16" t="n">
        <x:v>35</x:v>
      </x:c>
      <x:c r="B32" s="16" t="str">
        <x:v>Ter Harmsel, R., Kranenbarg, J. &amp; Schippers, T.C. / RAVON (2021, versie 3.0). Handleiding meetnet amfibieën en vissen in Natura 2000-gebieden</x:v>
      </x:c>
      <x:c r="C32" s="16" t="str">
        <x:v>https://www.ravon.nl/publicaties/handleiding-meetnet-amfibieen-en-vissen-in-natura-2000-gebieden/</x:v>
      </x:c>
      <x:c r="D32" s="16" t="str">
        <x:v>11-09-2026</x:v>
      </x:c>
    </x:row>
    <x:row r="33" ht="93" customHeight="1">
      <x:c r="A33" s="16" t="n">
        <x:v>36</x:v>
      </x:c>
      <x:c r="B33" s="16" t="str">
        <x:v>Sovon (z.d.). Punt Transect Telling (PTT)</x:v>
      </x:c>
      <x:c r="C33" s="16" t="str">
        <x:v>https://sovon.nl/tellen/telprojecten/punt-transect-telling-ptt</x:v>
      </x:c>
      <x:c r="D33" s="16" t="str">
        <x:v>11-09-2026</x:v>
      </x:c>
    </x:row>
    <x:row r="34" ht="93" customHeight="1">
      <x:c r="A34" s="16" t="n">
        <x:v>37</x:v>
      </x:c>
      <x:c r="B34" s="16" t="str">
        <x:v>NDFF (z.d.). 17.002 Braakbalonderzoek (NEM)</x:v>
      </x:c>
      <x:c r="C34" s="16" t="str">
        <x:v>https://ndff.nl/natuurdata/waarnemen-en-aanleveren/protocollen/17-002-braakbalonderzoek-nem/</x:v>
      </x:c>
      <x:c r="D34" s="16" t="str">
        <x:v>11-09-2026</x:v>
      </x:c>
    </x:row>
    <x:row r="35" ht="93" customHeight="1">
      <x:c r="A35" s="16" t="n">
        <x:v>38</x:v>
      </x:c>
      <x:c r="B35" s="16" t="str">
        <x:v>NDFF (z.d.). 17.005 Atlas van de Nederlandse Zoogdieren 1992</x:v>
      </x:c>
      <x:c r="C35" s="16" t="str">
        <x:v>https://ndff.nl/natuurdata/waarnemen-en-aanleveren/protocollen/17-005-atlas-van-de-nederlandse-zoogdieren-1992/</x:v>
      </x:c>
      <x:c r="D35" s="16" t="str">
        <x:v>11-09-2026</x:v>
      </x:c>
    </x:row>
    <x:row r="36" ht="93" customHeight="1">
      <x:c r="A36" s="16" t="n">
        <x:v>39</x:v>
      </x:c>
      <x:c r="B36" s="16" t="str">
        <x:v>NDFF (z.d.). 17.006 Atlas van de Nederlandse Vleermuizen 1997</x:v>
      </x:c>
      <x:c r="C36" s="16" t="str">
        <x:v>https://ndff.nl/natuurdata/waarnemen-en-aanleveren/protocollen/17-006-atlas-van-de-nederlandse-vleermuizen-1997/</x:v>
      </x:c>
      <x:c r="D36" s="16" t="str">
        <x:v>11-09-2026</x:v>
      </x:c>
    </x:row>
    <x:row r="37" ht="93" customHeight="1">
      <x:c r="A37" s="16" t="n">
        <x:v>40</x:v>
      </x:c>
      <x:c r="B37" s="16" t="str">
        <x:v>NDFF (z.d.). 17.007 Bestrijding Muskus- en Beverratten</x:v>
      </x:c>
      <x:c r="C37" s="16" t="str">
        <x:v>https://ndff.nl/natuurdata/waarnemen-en-aanleveren/protocollen/17-007-bestrijding-muskus-en-beverratten/</x:v>
      </x:c>
      <x:c r="D37" s="16" t="str">
        <x:v>11-09-2026</x:v>
      </x:c>
    </x:row>
    <x:row r="38" ht="93" customHeight="1">
      <x:c r="A38" s="16" t="n">
        <x:v>41</x:v>
      </x:c>
      <x:c r="B38" s="16" t="str">
        <x:v>CBS (2023). Meetprogramma’s voor flora en fauna 2022: Meetprogramma’s Relevante passage: Landzoogdieren: DAZ en konijnentellingen.</x:v>
      </x:c>
      <x:c r="C38" s="16" t="str">
        <x:v>https://longreads.cbs.nl/meetprogrammas-flora-en-fauna-2022/meetprogrammas/</x:v>
      </x:c>
      <x:c r="D38" s="16" t="str">
        <x:v>11-09-2026</x:v>
      </x:c>
    </x:row>
    <x:row r="39" ht="93" customHeight="1">
      <x:c r="A39" s="16" t="n">
        <x:v>42</x:v>
      </x:c>
      <x:c r="B39" s="16" t="str">
        <x:v>NDFF (z.d.). 17.208 Vleermuistransecttelling (NEM)</x:v>
      </x:c>
      <x:c r="C39" s="16" t="str">
        <x:v>https://ndff.nl/natuurdata/waarnemen-en-aanleveren/protocollen/17-208-vleermuistransecttelling-nem/</x:v>
      </x:c>
      <x:c r="D39" s="16" t="str">
        <x:v>11-09-2026</x:v>
      </x:c>
    </x:row>
    <x:row r="40" ht="93" customHeight="1">
      <x:c r="A40" s="16" t="n">
        <x:v>43</x:v>
      </x:c>
      <x:c r="B40" s="16" t="str">
        <x:v>NDFF (29 september 2025). 17.210 Uitvliegtellingen meervleermuizen (NEM)</x:v>
      </x:c>
      <x:c r="C40" s="16" t="str">
        <x:v>https://ndff.nl/natuurdata/waarnemen-en-aanleveren/protocollen/17-210-uitvliegtellingen-meervleermuizen-nem/</x:v>
      </x:c>
      <x:c r="D40" s="16" t="str">
        <x:v>11-09-2026</x:v>
      </x:c>
    </x:row>
    <x:row r="41" ht="93" customHeight="1">
      <x:c r="A41" s="16" t="n">
        <x:v>44</x:v>
      </x:c>
      <x:c r="B41" s="16" t="str">
        <x:v>NDFF (z.d.). 17.506 Vleermuisprotocol 2021</x:v>
      </x:c>
      <x:c r="C41" s="16" t="str">
        <x:v>https://ndff.nl/natuurdata/waarnemen-en-aanleveren/protocollen/17-506-vleermuisprotocol-2021/</x:v>
      </x:c>
      <x:c r="D41" s="16" t="str">
        <x:v>11-09-2026</x:v>
      </x:c>
    </x:row>
    <x:row r="42" ht="93" customHeight="1">
      <x:c r="A42" s="16" t="n">
        <x:v>45</x:v>
      </x:c>
      <x:c r="B42" s="16" t="str">
        <x:v>NDFF (z.d.). 02.203 Provinciale epifytenmeetnetten mossen en korstmossen</x:v>
      </x:c>
      <x:c r="C42" s="16" t="str">
        <x:v>https://ndff.nl/natuurdata/waarnemen-en-aanleveren/protocollen/2-203-provinciale-epifytenmeetnet-mossen-en-korstmossen-2/</x:v>
      </x:c>
      <x:c r="D42" s="16" t="str">
        <x:v>11-09-2026</x:v>
      </x:c>
    </x:row>
    <x:row r="43" ht="93" customHeight="1">
      <x:c r="A43" s="16" t="n">
        <x:v>46</x:v>
      </x:c>
      <x:c r="B43" s="16" t="str">
        <x:v>NDFF (z.d.). 03.003 Waarnemingen Tuinvlindertelling</x:v>
      </x:c>
      <x:c r="C43" s="16" t="str">
        <x:v>https://ndff.nl/natuurdata/waarnemen-en-aanleveren/protocollen/3-003-protocol-waarnemingen-tuinvlindertelling/</x:v>
      </x:c>
      <x:c r="D43" s="16" t="str">
        <x:v>11-09-2026</x:v>
      </x:c>
    </x:row>
    <x:row r="44" ht="93" customHeight="1">
      <x:c r="A44" s="16" t="n">
        <x:v>47</x:v>
      </x:c>
      <x:c r="B44" s="16" t="str">
        <x:v>NDFF (z.d.). 03.203 Landelijk Meetprogramma Nachtvlinders (NEM)</x:v>
      </x:c>
      <x:c r="C44" s="16" t="str">
        <x:v>https://ndff.nl/natuurdata/waarnemen-en-aanleveren/protocollen/3-203-landelijk-meetprogramma-nachtvlinders-nem/</x:v>
      </x:c>
      <x:c r="D44" s="16" t="str">
        <x:v>11-09-2026</x:v>
      </x:c>
    </x:row>
    <x:row r="45" ht="93" customHeight="1">
      <x:c r="A45" s="16" t="n">
        <x:v>48</x:v>
      </x:c>
      <x:c r="B45" s="16" t="str">
        <x:v>NDFF (z.d.). 07.001 Verspreidingsonderzoek libellen</x:v>
      </x:c>
      <x:c r="C45" s="16" t="str">
        <x:v>https://ndff.nl/natuurdata/waarnemen-en-aanleveren/protocollen/7-001-verspreidingsonderzoek-libellen/</x:v>
      </x:c>
      <x:c r="D45" s="16" t="str">
        <x:v>11-09-2026</x:v>
      </x:c>
    </x:row>
    <x:row r="46" ht="93" customHeight="1">
      <x:c r="A46" s="16" t="n">
        <x:v>49</x:v>
      </x:c>
      <x:c r="B46" s="16" t="str">
        <x:v>De Vlinderstichting (z.d.). Meetnet Libellen</x:v>
      </x:c>
      <x:c r="C46" s="16" t="str">
        <x:v>https://vlinderstichting.nl/wat-kan-jij-doen/tellen/meetnetten/meetnet-libellen/</x:v>
      </x:c>
      <x:c r="D46" s="16" t="str">
        <x:v>11-09-2026</x:v>
      </x:c>
    </x:row>
    <x:row r="47" ht="93" customHeight="1">
      <x:c r="A47" s="16" t="n">
        <x:v>50</x:v>
      </x:c>
      <x:c r="B47" s="16" t="str">
        <x:v>RAVON (z.d.). Reptielen: monitoring</x:v>
      </x:c>
      <x:c r="C47" s="16" t="str">
        <x:v>https://www.ravon.nl/reptielen/</x:v>
      </x:c>
      <x:c r="D47" s="16" t="str">
        <x:v>11-09-2026</x:v>
      </x:c>
    </x:row>
    <x:row r="48" ht="93" customHeight="1">
      <x:c r="A48" s="16" t="n">
        <x:v>51</x:v>
      </x:c>
      <x:c r="B48" s="16" t="str">
        <x:v>RAVON (2023). Handleiding invoerapp meetprogramma reptielen</x:v>
      </x:c>
      <x:c r="C48" s="16" t="str">
        <x:v>https://www.ravon.nl/publicaties/handleiding-invoerapp-meetprogramma-reptielen/</x:v>
      </x:c>
      <x:c r="D48" s="16" t="str">
        <x:v>11-09-2026</x:v>
      </x:c>
    </x:row>
    <x:row r="49" ht="93" customHeight="1">
      <x:c r="A49" s="16" t="n">
        <x:v>52</x:v>
      </x:c>
      <x:c r="B49" s="16" t="str">
        <x:v>NDFF (z.d.). 102.004 iNaturalist</x:v>
      </x:c>
      <x:c r="C49" s="16" t="str">
        <x:v>https://ndff.nl/natuurdata/waarnemen-en-aanleveren/protocollen/102-004-inaturalist/</x:v>
      </x:c>
      <x:c r="D49" s="16" t="str">
        <x:v>11-09-2026</x:v>
      </x:c>
    </x:row>
    <x:row r="50" ht="93" customHeight="1">
      <x:c r="A50" s="16" t="n">
        <x:v>53</x:v>
      </x:c>
      <x:c r="B50" s="16" t="str">
        <x:v>NDFF (z.d.). 102.005 LiveAtlas</x:v>
      </x:c>
      <x:c r="C50" s="16" t="str">
        <x:v>https://ndff.nl/natuurdata/waarnemen-en-aanleveren/protocollen/102-005-liveatlas/</x:v>
      </x:c>
      <x:c r="D50" s="16" t="str">
        <x:v>11-09-2026</x:v>
      </x:c>
    </x:row>
    <x:row r="51" ht="93" customHeight="1">
      <x:c r="A51" s="16" t="n">
        <x:v>54</x:v>
      </x:c>
      <x:c r="B51" s="16" t="str">
        <x:v>NDFF (z.d.). 102.007 Kwartiertellingen (dagvlinders, nachtvlinders, libellen en sprinkhanen)</x:v>
      </x:c>
      <x:c r="C51" s="16" t="str">
        <x:v>https://ndff.nl/natuurdata/waarnemen-en-aanleveren/protocollen/102-007-kwartiertellingen-dagvlinders-nachtvlinders-libellen-en-sprinkhanen/</x:v>
      </x:c>
      <x:c r="D51" s="16" t="str">
        <x:v>11-09-2026</x:v>
      </x:c>
    </x:row>
    <x:row r="52" ht="93" customHeight="1">
      <x:c r="A52" s="16" t="n">
        <x:v>55</x:v>
      </x:c>
      <x:c r="B52" s="16" t="str">
        <x:v>Paddenstoelenonderzoek Nederland / Nederlandse Mycologische Vereniging (z.d.). Meetnet bospaddenstoelen</x:v>
      </x:c>
      <x:c r="C52" s="16" t="str">
        <x:v>https://www.mycologen.nl/onderzoek/meetnet/bospaddenstoelen/</x:v>
      </x:c>
      <x:c r="D52" s="16" t="str">
        <x:v>11-09-2026</x:v>
      </x:c>
    </x:row>
    <x:row r="53" ht="93" customHeight="1">
      <x:c r="A53" s="16" t="n">
        <x:v>56</x:v>
      </x:c>
      <x:c r="B53" s="16" t="str">
        <x:v>Sparrius, L. &amp; De Kruif, T. / NDFF (2018). NDFF Charales survey. Dataset. DOI: 10.15468/kegmoj</x:v>
      </x:c>
      <x:c r="C53" s="16" t="str">
        <x:v>https://www.gbif.org/dataset/709e4b81-35aa-4c95-956f-c2676a53f7f7</x:v>
      </x:c>
      <x:c r="D53" s="16" t="str">
        <x:v>11-09-2026</x:v>
      </x:c>
    </x:row>
    <x:row r="54" ht="93" customHeight="1">
      <x:c r="A54" s="16" t="n">
        <x:v>57</x:v>
      </x:c>
      <x:c r="B54" s="16" t="str">
        <x:v>FLORON (z.d.). Nectarindex</x:v>
      </x:c>
      <x:c r="C54" s="16" t="str">
        <x:v>https://www.floron.nl/nectarindex</x:v>
      </x:c>
      <x:c r="D54" s="16" t="str">
        <x:v>11-09-2026</x:v>
      </x:c>
    </x:row>
    <x:row r="55" ht="93" customHeight="1">
      <x:c r="A55" s="16" t="n">
        <x:v>58</x:v>
      </x:c>
      <x:c r="B55" s="16" t="str">
        <x:v>NDFF (z.d.). 13.201 Meetnet Beek- en poldervissen (NEM)</x:v>
      </x:c>
      <x:c r="C55" s="16" t="str">
        <x:v>https://ndff.nl/natuurdata/waarnemen-en-aanleveren/protocollen/13-201-meetnet-beek-en-poldervissen-nem-3/</x:v>
      </x:c>
      <x:c r="D55" s="16" t="str">
        <x:v>11-09-2026</x:v>
      </x:c>
    </x:row>
    <x:row r="56" ht="93" customHeight="1">
      <x:c r="A56" s="16" t="n">
        <x:v>59</x:v>
      </x:c>
      <x:c r="B56" s="16" t="str">
        <x:v>Compendium voor de Leefomgeving / CBS (z.d.). Beek- en poldervissen van de Habitatrichtlijn, 1990–2023</x:v>
      </x:c>
      <x:c r="C56" s="16" t="str">
        <x:v>https://www.clo.nl/indicatoren/nl155204-beek-en-poldervissen-van-de-habitatrichtlijn-1990-2023</x:v>
      </x:c>
      <x:c r="D56" s="16" t="str">
        <x:v>11-09-2026</x:v>
      </x:c>
    </x:row>
    <x:row r="57" ht="93" customHeight="1">
      <x:c r="A57" s="16" t="n">
        <x:v>60</x:v>
      </x:c>
      <x:c r="B57" s="16" t="str">
        <x:v>NDFF (z.d.). 17.201 Monitoren van vleermuizen in de winter (NEM)</x:v>
      </x:c>
      <x:c r="C57" s="16" t="str">
        <x:v>https://ndff.nl/natuurdata/waarnemen-en-aanleveren/protocollen/17-201-monitoren-van-vleermuizen-in-de-winter-nem/</x:v>
      </x:c>
      <x:c r="D57" s="16" t="str">
        <x:v>11-09-2026</x:v>
      </x:c>
    </x:row>
    <x:row r="58" ht="93" customHeight="1">
      <x:c r="A58" s="16" t="n">
        <x:v>61</x:v>
      </x:c>
      <x:c r="B58" s="16" t="str">
        <x:v>NDFF (z.d.). 17.202 Monitoren van vleermuizen op zolders (NEM)</x:v>
      </x:c>
      <x:c r="C58" s="16" t="str">
        <x:v>https://ndff.nl/natuurdata/waarnemen-en-aanleveren/protocollen/17-202-monitoren-van-vleermuizen-op-zolders-nem/</x:v>
      </x:c>
      <x:c r="D58" s="16" t="str">
        <x:v>11-09-2026</x:v>
      </x:c>
    </x:row>
    <x:row r="59" ht="93" customHeight="1">
      <x:c r="A59" s="16" t="n">
        <x:v>62</x:v>
      </x:c>
      <x:c r="B59" s="16" t="str">
        <x:v>NDFF (z.d.). 17.207 Verspreidingsonderzoek bever en otter (NEM)</x:v>
      </x:c>
      <x:c r="C59" s="16" t="str">
        <x:v>https://ndff.nl/natuurdata/waarnemen-en-aanleveren/protocollen/17-207-verspreidingsonderzoek-bever-en-otter-nem/</x:v>
      </x:c>
      <x:c r="D59" s="16" t="str">
        <x:v>11-09-2026</x:v>
      </x:c>
    </x:row>
    <x:row r="60" ht="93" customHeight="1">
      <x:c r="A60" s="16" t="n">
        <x:v>63</x:v>
      </x:c>
      <x:c r="B60" s="16" t="str">
        <x:v>NDFF (z.d.). 17.505 Vleermuisprotocol 2017</x:v>
      </x:c>
      <x:c r="C60" s="16" t="str">
        <x:v>https://ndff.nl/natuurdata/waarnemen-en-aanleveren/protocollen/17-505-vleermuisprotocol-2017/</x:v>
      </x:c>
      <x:c r="D60" s="16" t="str">
        <x:v>11-09-2026</x:v>
      </x:c>
    </x:row>
    <x:row r="61" ht="93" customHeight="1">
      <x:c r="A61" s="16" t="n">
        <x:v>64</x:v>
      </x:c>
      <x:c r="B61" s="16" t="str">
        <x:v>Nichols, J.D. &amp; Williams, B.K. (2006). Monitoring for conservation. Trends in Ecology &amp; Evolution 21(12), 668–673. DOI: 10.1016/j.tree.2006.08.007</x:v>
      </x:c>
      <x:c r="C61" s="16" t="str">
        <x:v>https://www.usgs.gov/publications/monitoring-conservation</x:v>
      </x:c>
      <x:c r="D61" s="16" t="str">
        <x:v>11-09-2026</x:v>
      </x:c>
    </x:row>
    <x:row r="62" ht="93" customHeight="1">
      <x:c r="A62" s="16" t="n">
        <x:v>65</x:v>
      </x:c>
      <x:c r="B62" s="16" t="str">
        <x:v>NDFF (pagina bijgewerkt 10 juni 2026). Databestanden in de NDFF; NEM-gegevens in NDFF en beperkingen voor trendberekening.</x:v>
      </x:c>
      <x:c r="C62" s="16" t="str">
        <x:v>https://ndff.nl/natuurdata/waarnemen-en-aanleveren/databestanden/</x:v>
      </x:c>
      <x:c r="D62" s="16" t="str">
        <x:v>11-09-2026</x:v>
      </x:c>
    </x:row>
    <x:row r="63" ht="93" customHeight="1">
      <x:c r="A63" s="16" t="n">
        <x:v>66</x:v>
      </x:c>
      <x:c r="B63" s="16" t="str">
        <x:v>NDFF (z.d.). Protocollen; reconstructie van nulwaarnemingen en beoordeling van metadata.</x:v>
      </x:c>
      <x:c r="C63" s="16" t="str">
        <x:v>https://ndff.nl/natuurdata/waarnemen-en-aanleveren/protocollen/</x:v>
      </x:c>
      <x:c r="D63" s="16" t="str">
        <x:v>11-09-2026</x:v>
      </x:c>
    </x:row>
    <x:row r="64" ht="93" customHeight="1">
      <x:c r="A64" s="16" t="n">
        <x:v>67</x:v>
      </x:c>
      <x:c r="B64" s="16" t="str">
        <x:v>BLWG / Verspreidingsatlas (z.d.). Meetnet Mossen; geselecteerde kilometerhokken, tijdsbesteding en abundantieklassen.</x:v>
      </x:c>
      <x:c r="C64" s="16" t="str">
        <x:v>https://www.verspreidingsatlas.nl/projecten/blwg/meetnetmossen.aspx</x:v>
      </x:c>
      <x:c r="D64" s="16" t="str">
        <x:v>11-09-2026</x:v>
      </x:c>
    </x:row>
    <x:row r="65" ht="93" customHeight="1">
      <x:c r="A65" s="16" t="n">
        <x:v>68</x:v>
      </x:c>
      <x:c r="B65" s="16" t="str">
        <x:v>NDFF / GBIF (2018). NDFF Bryophyte monitoring. Metadata. DOI: 10.15468/zw3zbb.</x:v>
      </x:c>
      <x:c r="C65" s="16" t="str">
        <x:v>https://www.gbif.org/dataset/2d1a33c3-f278-40d2-a662-e0d3369658e2</x:v>
      </x:c>
      <x:c r="D65" s="16" t="str">
        <x:v>11-09-2026</x:v>
      </x:c>
    </x:row>
    <x:row r="66" ht="93" customHeight="1">
      <x:c r="A66" s="16" t="n">
        <x:v>69</x:v>
      </x:c>
      <x:c r="B66" s="16" t="str">
        <x:v>NDFF (z.d.). 01.201 Monitoring van amfibieën in Nederland; algemene en soortgerichte deelprotocollen.</x:v>
      </x:c>
      <x:c r="C66" s="16" t="str">
        <x:v>https://ndff.nl/natuurdata/waarnemen-en-aanleveren/protocollen/01-203-monitoring-van-amfibieen-in-nederland-2015-nem/</x:v>
      </x:c>
      <x:c r="D66" s="16" t="str">
        <x:v>11-09-2026</x:v>
      </x:c>
    </x:row>
    <x:row r="67" ht="93" customHeight="1">
      <x:c r="A67" s="16" t="n">
        <x:v>70</x:v>
      </x:c>
      <x:c r="B67" s="16" t="str">
        <x:v>NDFF (bijgewerkt 31 juli 2026). Overzicht waarnemingen met protocol; code- en naamregistratie.</x:v>
      </x:c>
      <x:c r="C67" s="16" t="str">
        <x:v>https://ndff.nl/natuurdata/waarnemen-en-aanleveren/protocollen/overzicht-waarnemingen-via-protocol/</x:v>
      </x:c>
      <x:c r="D67" s="16" t="str">
        <x:v>11-09-2026</x:v>
      </x:c>
    </x:row>
    <x:row r="68" ht="93" customHeight="1">
      <x:c r="A68" s="16" t="n">
        <x:v>71</x:v>
      </x:c>
      <x:c r="B68" s="16" t="str">
        <x:v>Van Strien, A.J., Van Swaay, C.A.M. &amp; Termaat, T. (2013). Opportunistic citizen science data of animal species produce reliable estimates of distribution trends if analysed with occupancy models. Journal of Applied Ecology 50:1450–1458. DOI: 10.1111/1365-2664.12158.</x:v>
      </x:c>
      <x:c r="C68" s="16" t="str">
        <x:v>https://besjournals.onlinelibrary.wiley.com/doi/full/10.1111/1365-2664.12158</x:v>
      </x:c>
      <x:c r="D68" s="16" t="str">
        <x:v>11-09-2026</x:v>
      </x:c>
    </x:row>
    <x:row r="69" ht="93" customHeight="1">
      <x:c r="A69" s="16" t="n">
        <x:v>72</x:v>
      </x:c>
      <x:c r="B69" s="16" t="str">
        <x:v>Kleukers, R. &amp; Oomen, D. / NDFF (2018). NDFF Dragonflies distribution research. Metadata. DOI: 10.15468/4dgcbn.</x:v>
      </x:c>
      <x:c r="C69" s="16" t="str">
        <x:v>https://www.gbif.org/dataset/9296b0fc-7ea4-46de-b951-6dea892acd41</x:v>
      </x:c>
      <x:c r="D69" s="16" t="str">
        <x:v>11-09-2026</x:v>
      </x:c>
    </x:row>
    <x:row r="70" ht="93" customHeight="1">
      <x:c r="A70" s="16" t="n">
        <x:v>73</x:v>
      </x:c>
      <x:c r="B70" s="16" t="str">
        <x:v>CBS (z.d.). Zoogdierenstatistiek; gestandaardiseerde tellingen van dagactieve zoogdieren.</x:v>
      </x:c>
      <x:c r="C70" s="16" t="str">
        <x:v>https://www.cbs.nl/nl-nl/onze-diensten/methoden/onderzoeksomschrijvingen/korte-onderzoeksomschrijvingen/zoogdierenstatistiek</x:v>
      </x:c>
      <x:c r="D70" s="16" t="str">
        <x:v>11-09-2026</x:v>
      </x:c>
    </x:row>
  </x:sheetData>
  <x:mergeCells>
    <x:mergeCell ref="A1:D1"/>
    <x:mergeCell ref="A2:D2"/>
  </x:mergeCells>
  <x:pageMargins left="0.7" right="0.7" top="0.75" bottom="0.75" header="0.3" footer="0.3"/>
  <x:tableParts count="1">
    <x:tablePart xmlns:r="http://schemas.openxmlformats.org/officeDocument/2006/relationships" r:id="Rd229e0cd1ede4c06"/>
  </x:tableParts>
</x:worksheet>
</file>